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ktsuji_student_ubc_ca/Documents/UBC Extracurriculars/SCMC/"/>
    </mc:Choice>
  </mc:AlternateContent>
  <xr:revisionPtr revIDLastSave="1232" documentId="13_ncr:8001_{999347BD-3178-421A-BFAC-0EFDEAEB2C0B}" xr6:coauthVersionLast="47" xr6:coauthVersionMax="47" xr10:uidLastSave="{3CD40026-1162-44F0-8C74-14F9AB266F87}"/>
  <bookViews>
    <workbookView xWindow="-108" yWindow="-108" windowWidth="23256" windowHeight="13176" activeTab="1" xr2:uid="{21B9028F-0FEA-4D58-8E1D-5A4AEFC1B8D9}"/>
  </bookViews>
  <sheets>
    <sheet name="Cover" sheetId="1" r:id="rId1"/>
    <sheet name="Instructions" sheetId="2" r:id="rId2"/>
    <sheet name="Financial Statements" sheetId="4" r:id="rId3"/>
    <sheet name="DCF Valuation" sheetId="5" r:id="rId4"/>
    <sheet name="Supporting Schedules" sheetId="10" r:id="rId5"/>
    <sheet name="Comparables " sheetId="13" r:id="rId6"/>
    <sheet name="Precedents" sheetId="11" r:id="rId7"/>
  </sheets>
  <externalReferences>
    <externalReference r:id="rId8"/>
  </externalReferences>
  <definedNames>
    <definedName name="__FDS_HYPERLINK_TOGGLE_STATE__" hidden="1">"ON"</definedName>
    <definedName name="__FDS_UNIQUE_RANGE_ID_GENERATOR_COUNTER" hidden="1">92</definedName>
    <definedName name="__FDS_USED_FOR_REUSING_RANGE_IDS_RECYCLE" localSheetId="5" hidden="1">{91}</definedName>
    <definedName name="__FDS_USED_FOR_REUSING_RANGE_IDS_RECYCLE" hidden="1">{91}</definedName>
    <definedName name="_20__FDSAUDITLINK__" localSheetId="5" hidden="1">{"fdsup://Directions/FactSet Auditing Viewer?action=AUDIT_VALUE&amp;DB=129&amp;ID1=20536310&amp;VALUEID=07011&amp;SDATE=2008&amp;PERIODTYPE=ANN_STD&amp;window=popup_no_bar&amp;width=385&amp;height=120&amp;START_MAXIMIZED=FALSE&amp;creator=factset&amp;display_string=Audit"}</definedName>
    <definedName name="_20__FDSAUDITLINK__" hidden="1">{"fdsup://Directions/FactSet Auditing Viewer?action=AUDIT_VALUE&amp;DB=129&amp;ID1=20536310&amp;VALUEID=07011&amp;SDATE=2008&amp;PERIODTYPE=ANN_STD&amp;window=popup_no_bar&amp;width=385&amp;height=120&amp;START_MAXIMIZED=FALSE&amp;creator=factset&amp;display_string=Audit"}</definedName>
    <definedName name="_45__FDSAUDITLINK__" localSheetId="5" hidden="1">{"fdsup://directions/FAT Viewer?action=UPDATE&amp;creator=factset&amp;DYN_ARGS=TRUE&amp;DOC_NAME=FAT:FQL_AUDITING_CLIENT_TEMPLATE.FAT&amp;display_string=Audit&amp;VAR:KEY=GLKJCXKPER&amp;VAR:QUERY=RkZfTElBQlMoQU5OLDBZKQ==&amp;WINDOW=FIRST_POPUP&amp;HEIGHT=450&amp;WIDTH=450&amp;START_MAXIMIZED=FALS","E&amp;VAR:CALENDAR=US&amp;VAR:SYMBOL=622657&amp;VAR:INDEX=0"}</definedName>
    <definedName name="_45__FDSAUDITLINK__" hidden="1">{"fdsup://directions/FAT Viewer?action=UPDATE&amp;creator=factset&amp;DYN_ARGS=TRUE&amp;DOC_NAME=FAT:FQL_AUDITING_CLIENT_TEMPLATE.FAT&amp;display_string=Audit&amp;VAR:KEY=GLKJCXKPER&amp;VAR:QUERY=RkZfTElBQlMoQU5OLDBZKQ==&amp;WINDOW=FIRST_POPUP&amp;HEIGHT=450&amp;WIDTH=450&amp;START_MAXIMIZED=FALS","E&amp;VAR:CALENDAR=US&amp;VAR:SYMBOL=622657&amp;VAR:INDEX=0"}</definedName>
    <definedName name="_bdm.3C0A5DFB33C143A7B0202F03660F87C5.edm" hidden="1">#REF!</definedName>
    <definedName name="_bdm.41B7446C4C634C0CB571A940C585DD1B.edm" hidden="1">#REF!</definedName>
    <definedName name="beta" localSheetId="5">'[1]DCF Valuation'!$C$20</definedName>
    <definedName name="beta">'DCF Valuation'!$C$20</definedName>
    <definedName name="CIQWBGuid" hidden="1">"f9dbbd30-fd4d-42fd-a65f-3b68379b6b21"</definedName>
    <definedName name="CIQWBInfo" hidden="1">"{ ""CIQVersion"":""9.51.3510.3078"" }"</definedName>
    <definedName name="company" localSheetId="5">[1]Cover!$C$2</definedName>
    <definedName name="company">Cover!$C$2</definedName>
    <definedName name="Comps" hidden="1">{91}</definedName>
    <definedName name="costofdebt" localSheetId="5">'[1]DCF Valuation'!$C$22</definedName>
    <definedName name="costofdebt">'DCF Valuation'!$C$22</definedName>
    <definedName name="currentprice" localSheetId="5">[1]Cover!$C$4</definedName>
    <definedName name="currentprice">Cover!$C$4</definedName>
    <definedName name="dilutedshares" localSheetId="5">'Comparables '!$C$7</definedName>
    <definedName name="dilutedshares">#REF!</definedName>
    <definedName name="equityvalue" localSheetId="5">'Comparables '!$C$8</definedName>
    <definedName name="equityvalue">#REF!</definedName>
    <definedName name="ev" localSheetId="5">'Comparables '!$C$10</definedName>
    <definedName name="ev">#REF!</definedName>
    <definedName name="IQ_ADDIN" hidden="1">"AUTO"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"02/16/2025 04:18:50"</definedName>
    <definedName name="IQ_OPENED55" hidden="1">1</definedName>
    <definedName name="IQ_QTD" hidden="1">750000</definedName>
    <definedName name="IQ_TODAY" hidden="1">0</definedName>
    <definedName name="IQ_YTDMONTH" hidden="1">130000</definedName>
    <definedName name="mrp" localSheetId="5">'[1]DCF Valuation'!$C$19</definedName>
    <definedName name="mrp">'DCF Valuation'!$C$19</definedName>
    <definedName name="name">[1]Cover!$C$2</definedName>
    <definedName name="netdebt" localSheetId="5">'Comparables '!$C$9</definedName>
    <definedName name="netdebt">#REF!</definedName>
    <definedName name="rd" localSheetId="5">'[1]DCF Valuation'!$C$24</definedName>
    <definedName name="rd">'DCF Valuation'!$C$24</definedName>
    <definedName name="re" localSheetId="5">'[1]DCF Valuation'!$C$21</definedName>
    <definedName name="re">'DCF Valuation'!$C$21</definedName>
    <definedName name="rf" localSheetId="5">'[1]DCF Valuation'!$C$18</definedName>
    <definedName name="rf">'DCF Valuation'!$C$18</definedName>
    <definedName name="rm" localSheetId="5">'[1]DCF Valuation'!$C$17</definedName>
    <definedName name="rm">'DCF Valuation'!$C$17</definedName>
    <definedName name="SpreadsheetBuilder_1" hidden="1">#REF!</definedName>
    <definedName name="taxrate" localSheetId="5">'[1]DCF Valuation'!$C$23</definedName>
    <definedName name="taxrate">'DCF Valuation'!$C$23</definedName>
    <definedName name="tgr" localSheetId="5">'[1]DCF Valuation'!$D$47</definedName>
    <definedName name="tgr">'DCF Valuation'!$D$46</definedName>
    <definedName name="wacc" localSheetId="5">'[1]DCF Valuation'!$C$25</definedName>
    <definedName name="wacc">'DCF Valuation'!$C$25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4" i="10" l="1"/>
  <c r="D175" i="10"/>
  <c r="D176" i="10"/>
  <c r="D177" i="10"/>
  <c r="D180" i="10"/>
  <c r="E174" i="10" s="1"/>
  <c r="C184" i="10"/>
  <c r="E184" i="10"/>
  <c r="D184" i="10" s="1"/>
  <c r="C185" i="10"/>
  <c r="E185" i="10"/>
  <c r="D185" i="10" s="1"/>
  <c r="C186" i="10"/>
  <c r="E186" i="10"/>
  <c r="D186" i="10" s="1"/>
  <c r="C187" i="10"/>
  <c r="E187" i="10"/>
  <c r="D187" i="10" s="1"/>
  <c r="C188" i="10"/>
  <c r="E188" i="10"/>
  <c r="D188" i="10" s="1"/>
  <c r="C189" i="10"/>
  <c r="E189" i="10"/>
  <c r="D189" i="10" s="1"/>
  <c r="C160" i="10"/>
  <c r="D178" i="10" s="1"/>
  <c r="E178" i="10" s="1"/>
  <c r="B10" i="10"/>
  <c r="C12" i="10"/>
  <c r="C10" i="10" s="1"/>
  <c r="D12" i="10"/>
  <c r="D10" i="10" s="1"/>
  <c r="E12" i="10"/>
  <c r="E46" i="10" s="1"/>
  <c r="F12" i="10"/>
  <c r="F46" i="10" s="1"/>
  <c r="G12" i="10"/>
  <c r="G25" i="10" s="1"/>
  <c r="H12" i="10"/>
  <c r="H10" i="10" s="1"/>
  <c r="I13" i="10"/>
  <c r="I14" i="10"/>
  <c r="I16" i="10"/>
  <c r="J16" i="10" s="1"/>
  <c r="K16" i="10" s="1"/>
  <c r="L16" i="10" s="1"/>
  <c r="M16" i="10" s="1"/>
  <c r="N16" i="10" s="1"/>
  <c r="O16" i="10" s="1"/>
  <c r="P16" i="10" s="1"/>
  <c r="Q16" i="10" s="1"/>
  <c r="I18" i="10"/>
  <c r="I47" i="10" s="1"/>
  <c r="I19" i="10"/>
  <c r="I48" i="10" s="1"/>
  <c r="D26" i="10"/>
  <c r="E26" i="10"/>
  <c r="F26" i="10"/>
  <c r="G26" i="10"/>
  <c r="H26" i="10"/>
  <c r="J26" i="10"/>
  <c r="D27" i="10"/>
  <c r="E27" i="10"/>
  <c r="F27" i="10"/>
  <c r="G27" i="10"/>
  <c r="H27" i="10"/>
  <c r="J27" i="10"/>
  <c r="K27" i="10" s="1"/>
  <c r="L27" i="10" s="1"/>
  <c r="M27" i="10" s="1"/>
  <c r="N27" i="10" s="1"/>
  <c r="O27" i="10" s="1"/>
  <c r="P27" i="10" s="1"/>
  <c r="Q27" i="10" s="1"/>
  <c r="D28" i="10"/>
  <c r="E28" i="10"/>
  <c r="F28" i="10"/>
  <c r="G28" i="10"/>
  <c r="H28" i="10"/>
  <c r="D29" i="10"/>
  <c r="E29" i="10"/>
  <c r="F29" i="10"/>
  <c r="G29" i="10"/>
  <c r="H29" i="10"/>
  <c r="D31" i="10"/>
  <c r="E31" i="10"/>
  <c r="F31" i="10"/>
  <c r="G31" i="10"/>
  <c r="H31" i="10"/>
  <c r="D32" i="10"/>
  <c r="E32" i="10"/>
  <c r="F32" i="10"/>
  <c r="G32" i="10"/>
  <c r="H32" i="10"/>
  <c r="J32" i="10"/>
  <c r="K32" i="10"/>
  <c r="L32" i="10" s="1"/>
  <c r="M32" i="10" s="1"/>
  <c r="N32" i="10" s="1"/>
  <c r="O32" i="10" s="1"/>
  <c r="P32" i="10" s="1"/>
  <c r="Q32" i="10" s="1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C46" i="10"/>
  <c r="D46" i="10"/>
  <c r="C47" i="10"/>
  <c r="D47" i="10"/>
  <c r="E47" i="10"/>
  <c r="F47" i="10"/>
  <c r="G47" i="10"/>
  <c r="H47" i="10"/>
  <c r="C48" i="10"/>
  <c r="D48" i="10"/>
  <c r="E48" i="10"/>
  <c r="F48" i="10"/>
  <c r="G48" i="10"/>
  <c r="H48" i="10"/>
  <c r="H52" i="5"/>
  <c r="H53" i="5" s="1"/>
  <c r="C25" i="5"/>
  <c r="D52" i="5"/>
  <c r="H101" i="4"/>
  <c r="G26" i="11"/>
  <c r="G31" i="11" s="1"/>
  <c r="H26" i="11"/>
  <c r="F26" i="11"/>
  <c r="H25" i="11"/>
  <c r="G25" i="11"/>
  <c r="F25" i="11"/>
  <c r="F24" i="11"/>
  <c r="H22" i="11"/>
  <c r="H34" i="11" s="1"/>
  <c r="G22" i="11"/>
  <c r="G34" i="11" s="1"/>
  <c r="D53" i="11" s="1"/>
  <c r="D55" i="11" s="1"/>
  <c r="F22" i="11"/>
  <c r="F34" i="11" s="1"/>
  <c r="H23" i="11"/>
  <c r="H31" i="11" s="1"/>
  <c r="G43" i="11" s="1"/>
  <c r="F23" i="11"/>
  <c r="D64" i="13"/>
  <c r="D65" i="13"/>
  <c r="D58" i="13"/>
  <c r="C58" i="13"/>
  <c r="B61" i="13"/>
  <c r="B62" i="13"/>
  <c r="B63" i="13"/>
  <c r="B64" i="13"/>
  <c r="B65" i="13"/>
  <c r="B60" i="13"/>
  <c r="L48" i="5"/>
  <c r="M48" i="5" s="1"/>
  <c r="J48" i="5"/>
  <c r="I48" i="5" s="1"/>
  <c r="J31" i="10" l="1"/>
  <c r="E180" i="10"/>
  <c r="E175" i="10"/>
  <c r="E177" i="10"/>
  <c r="E176" i="10"/>
  <c r="J18" i="10"/>
  <c r="J47" i="10" s="1"/>
  <c r="K31" i="10"/>
  <c r="L31" i="10" s="1"/>
  <c r="M31" i="10" s="1"/>
  <c r="N31" i="10" s="1"/>
  <c r="O31" i="10" s="1"/>
  <c r="P31" i="10" s="1"/>
  <c r="Q31" i="10" s="1"/>
  <c r="J19" i="10"/>
  <c r="J48" i="10" s="1"/>
  <c r="C44" i="10"/>
  <c r="I28" i="10"/>
  <c r="I15" i="10" s="1"/>
  <c r="J13" i="10"/>
  <c r="H44" i="10"/>
  <c r="D23" i="10"/>
  <c r="D44" i="10"/>
  <c r="G10" i="10"/>
  <c r="H23" i="10" s="1"/>
  <c r="E25" i="10"/>
  <c r="F10" i="10"/>
  <c r="H46" i="10"/>
  <c r="D25" i="10"/>
  <c r="E10" i="10"/>
  <c r="G46" i="10"/>
  <c r="K26" i="10"/>
  <c r="L26" i="10" s="1"/>
  <c r="M26" i="10" s="1"/>
  <c r="N26" i="10" s="1"/>
  <c r="O26" i="10" s="1"/>
  <c r="P26" i="10" s="1"/>
  <c r="Q26" i="10" s="1"/>
  <c r="H25" i="10"/>
  <c r="F25" i="10"/>
  <c r="J14" i="10"/>
  <c r="K14" i="10" s="1"/>
  <c r="L14" i="10" s="1"/>
  <c r="M14" i="10" s="1"/>
  <c r="N14" i="10" s="1"/>
  <c r="O14" i="10" s="1"/>
  <c r="P14" i="10" s="1"/>
  <c r="Q14" i="10" s="1"/>
  <c r="H50" i="5"/>
  <c r="H49" i="5" s="1"/>
  <c r="G46" i="11"/>
  <c r="E53" i="11"/>
  <c r="E55" i="11" s="1"/>
  <c r="E56" i="11" s="1"/>
  <c r="C46" i="11"/>
  <c r="C53" i="11"/>
  <c r="D56" i="11"/>
  <c r="F31" i="11"/>
  <c r="C43" i="11" s="1"/>
  <c r="C92" i="4"/>
  <c r="C9" i="11"/>
  <c r="K19" i="10" l="1"/>
  <c r="K18" i="10"/>
  <c r="K47" i="10" s="1"/>
  <c r="J28" i="10"/>
  <c r="K28" i="10" s="1"/>
  <c r="L28" i="10" s="1"/>
  <c r="M28" i="10" s="1"/>
  <c r="N28" i="10" s="1"/>
  <c r="O28" i="10" s="1"/>
  <c r="P28" i="10" s="1"/>
  <c r="Q28" i="10" s="1"/>
  <c r="I12" i="10"/>
  <c r="J15" i="10"/>
  <c r="K15" i="10" s="1"/>
  <c r="L15" i="10" s="1"/>
  <c r="M15" i="10" s="1"/>
  <c r="N15" i="10" s="1"/>
  <c r="O15" i="10" s="1"/>
  <c r="P15" i="10" s="1"/>
  <c r="Q15" i="10" s="1"/>
  <c r="K48" i="10"/>
  <c r="L19" i="10"/>
  <c r="E23" i="10"/>
  <c r="E44" i="10"/>
  <c r="F23" i="10"/>
  <c r="F44" i="10"/>
  <c r="G23" i="10"/>
  <c r="G44" i="10"/>
  <c r="K13" i="10"/>
  <c r="C9" i="13"/>
  <c r="D121" i="10"/>
  <c r="E121" i="10"/>
  <c r="F121" i="10"/>
  <c r="G121" i="10"/>
  <c r="H121" i="10"/>
  <c r="C121" i="10"/>
  <c r="D122" i="10"/>
  <c r="E122" i="10"/>
  <c r="F122" i="10"/>
  <c r="G122" i="10"/>
  <c r="H122" i="10"/>
  <c r="C122" i="10"/>
  <c r="D120" i="10"/>
  <c r="E120" i="10"/>
  <c r="F120" i="10"/>
  <c r="G120" i="10"/>
  <c r="H120" i="10"/>
  <c r="C120" i="10"/>
  <c r="B2" i="13"/>
  <c r="F17" i="13"/>
  <c r="Q17" i="13" s="1"/>
  <c r="M17" i="13"/>
  <c r="F18" i="13"/>
  <c r="Q18" i="13" s="1"/>
  <c r="F19" i="13"/>
  <c r="Q19" i="13" s="1"/>
  <c r="M19" i="13"/>
  <c r="F20" i="13"/>
  <c r="S20" i="13" s="1"/>
  <c r="D63" i="13" s="1"/>
  <c r="F21" i="13"/>
  <c r="G21" i="13" s="1"/>
  <c r="F22" i="13"/>
  <c r="G22" i="13" s="1"/>
  <c r="N22" i="13" s="1"/>
  <c r="B29" i="13"/>
  <c r="B66" i="13" s="1"/>
  <c r="D29" i="13"/>
  <c r="E29" i="13"/>
  <c r="F29" i="13" s="1"/>
  <c r="Q29" i="13" s="1"/>
  <c r="M29" i="13"/>
  <c r="F36" i="5"/>
  <c r="G36" i="5"/>
  <c r="H36" i="5"/>
  <c r="I36" i="5"/>
  <c r="D36" i="5"/>
  <c r="K104" i="4"/>
  <c r="L104" i="4"/>
  <c r="M104" i="4"/>
  <c r="N104" i="4"/>
  <c r="O104" i="4"/>
  <c r="P104" i="4"/>
  <c r="Q104" i="4"/>
  <c r="J104" i="4"/>
  <c r="H92" i="4"/>
  <c r="G92" i="4"/>
  <c r="F92" i="4"/>
  <c r="E92" i="4"/>
  <c r="D92" i="4"/>
  <c r="D112" i="10"/>
  <c r="E112" i="10"/>
  <c r="F112" i="10"/>
  <c r="G112" i="10"/>
  <c r="H112" i="10"/>
  <c r="C112" i="10"/>
  <c r="C111" i="10"/>
  <c r="G111" i="10"/>
  <c r="D117" i="10"/>
  <c r="E117" i="10"/>
  <c r="F117" i="10"/>
  <c r="G117" i="10"/>
  <c r="H117" i="10"/>
  <c r="C117" i="10"/>
  <c r="D116" i="10"/>
  <c r="E116" i="10"/>
  <c r="F116" i="10"/>
  <c r="G116" i="10"/>
  <c r="H116" i="10"/>
  <c r="C116" i="10"/>
  <c r="K106" i="4"/>
  <c r="L106" i="4" s="1"/>
  <c r="M106" i="4" s="1"/>
  <c r="N106" i="4" s="1"/>
  <c r="O106" i="4" s="1"/>
  <c r="P106" i="4" s="1"/>
  <c r="Q106" i="4" s="1"/>
  <c r="J106" i="4"/>
  <c r="I106" i="4"/>
  <c r="K105" i="4"/>
  <c r="L105" i="4"/>
  <c r="M105" i="4"/>
  <c r="N105" i="4"/>
  <c r="O105" i="4"/>
  <c r="P105" i="4"/>
  <c r="Q105" i="4"/>
  <c r="J105" i="4"/>
  <c r="I105" i="4"/>
  <c r="I104" i="4"/>
  <c r="C113" i="10"/>
  <c r="D113" i="10"/>
  <c r="E113" i="10"/>
  <c r="F113" i="10"/>
  <c r="G113" i="10"/>
  <c r="H113" i="10"/>
  <c r="D111" i="10"/>
  <c r="E111" i="10"/>
  <c r="F111" i="10"/>
  <c r="H111" i="10"/>
  <c r="F102" i="10"/>
  <c r="G102" i="10"/>
  <c r="H102" i="10"/>
  <c r="F103" i="10"/>
  <c r="G103" i="10"/>
  <c r="H103" i="10"/>
  <c r="F104" i="10"/>
  <c r="F108" i="10" s="1"/>
  <c r="G104" i="10"/>
  <c r="G108" i="10" s="1"/>
  <c r="H104" i="10"/>
  <c r="H108" i="10" s="1"/>
  <c r="E102" i="10"/>
  <c r="E103" i="10"/>
  <c r="E104" i="10"/>
  <c r="E108" i="10" s="1"/>
  <c r="D104" i="10"/>
  <c r="D108" i="10" s="1"/>
  <c r="D102" i="10"/>
  <c r="D101" i="10"/>
  <c r="D103" i="10"/>
  <c r="C97" i="10"/>
  <c r="D97" i="10"/>
  <c r="E97" i="10"/>
  <c r="F97" i="10"/>
  <c r="G97" i="10"/>
  <c r="H97" i="10"/>
  <c r="C98" i="10"/>
  <c r="D98" i="10"/>
  <c r="E98" i="10"/>
  <c r="F98" i="10"/>
  <c r="G98" i="10"/>
  <c r="H98" i="10"/>
  <c r="D96" i="10"/>
  <c r="E96" i="10"/>
  <c r="F96" i="10"/>
  <c r="G96" i="10"/>
  <c r="H96" i="10"/>
  <c r="C96" i="10"/>
  <c r="C91" i="10"/>
  <c r="D91" i="10"/>
  <c r="E91" i="10"/>
  <c r="F91" i="10"/>
  <c r="G91" i="10"/>
  <c r="H91" i="10"/>
  <c r="C92" i="10"/>
  <c r="D92" i="10"/>
  <c r="E92" i="10"/>
  <c r="F92" i="10"/>
  <c r="G92" i="10"/>
  <c r="H92" i="10"/>
  <c r="I92" i="10" s="1"/>
  <c r="C93" i="10"/>
  <c r="D93" i="10"/>
  <c r="E93" i="10"/>
  <c r="F93" i="10"/>
  <c r="G93" i="10"/>
  <c r="H93" i="10"/>
  <c r="I93" i="10" s="1"/>
  <c r="J93" i="10" s="1"/>
  <c r="K93" i="10" s="1"/>
  <c r="L93" i="10" s="1"/>
  <c r="M93" i="10" s="1"/>
  <c r="N93" i="10" s="1"/>
  <c r="O93" i="10" s="1"/>
  <c r="P93" i="10" s="1"/>
  <c r="Q93" i="10" s="1"/>
  <c r="D90" i="10"/>
  <c r="E90" i="10"/>
  <c r="F90" i="10"/>
  <c r="G90" i="10"/>
  <c r="H90" i="10"/>
  <c r="C90" i="10"/>
  <c r="H58" i="4"/>
  <c r="C87" i="10"/>
  <c r="D87" i="10"/>
  <c r="E87" i="10"/>
  <c r="F87" i="10"/>
  <c r="G87" i="10"/>
  <c r="H87" i="10"/>
  <c r="I87" i="10" s="1"/>
  <c r="C86" i="10"/>
  <c r="D86" i="10"/>
  <c r="E86" i="10"/>
  <c r="F86" i="10"/>
  <c r="G86" i="10"/>
  <c r="H86" i="10"/>
  <c r="I86" i="10" s="1"/>
  <c r="C85" i="10"/>
  <c r="D85" i="10"/>
  <c r="E85" i="10"/>
  <c r="F85" i="10"/>
  <c r="G85" i="10"/>
  <c r="H85" i="10"/>
  <c r="D84" i="10"/>
  <c r="E84" i="10"/>
  <c r="F84" i="10"/>
  <c r="G84" i="10"/>
  <c r="H84" i="10"/>
  <c r="C84" i="10"/>
  <c r="C80" i="10"/>
  <c r="D80" i="10"/>
  <c r="E80" i="10"/>
  <c r="F80" i="10"/>
  <c r="G80" i="10"/>
  <c r="H80" i="10"/>
  <c r="C81" i="10"/>
  <c r="D81" i="10"/>
  <c r="E81" i="10"/>
  <c r="F81" i="10"/>
  <c r="G81" i="10"/>
  <c r="H81" i="10"/>
  <c r="D79" i="10"/>
  <c r="E79" i="10"/>
  <c r="F79" i="10"/>
  <c r="G79" i="10"/>
  <c r="H79" i="10"/>
  <c r="C79" i="10"/>
  <c r="D78" i="10"/>
  <c r="E78" i="10"/>
  <c r="F78" i="10"/>
  <c r="G78" i="10"/>
  <c r="H78" i="10"/>
  <c r="C78" i="10"/>
  <c r="D77" i="10"/>
  <c r="E77" i="10"/>
  <c r="F77" i="10"/>
  <c r="G77" i="10"/>
  <c r="H77" i="10"/>
  <c r="C77" i="10"/>
  <c r="D75" i="10"/>
  <c r="E75" i="10"/>
  <c r="F75" i="10"/>
  <c r="G75" i="10"/>
  <c r="H75" i="10"/>
  <c r="C75" i="10"/>
  <c r="D74" i="10"/>
  <c r="E74" i="10"/>
  <c r="F74" i="10"/>
  <c r="G74" i="10"/>
  <c r="H74" i="10"/>
  <c r="C74" i="10"/>
  <c r="D73" i="10"/>
  <c r="E73" i="10"/>
  <c r="F73" i="10"/>
  <c r="G73" i="10"/>
  <c r="H73" i="10"/>
  <c r="C73" i="10"/>
  <c r="D72" i="10"/>
  <c r="E72" i="10"/>
  <c r="F72" i="10"/>
  <c r="G72" i="10"/>
  <c r="H72" i="10"/>
  <c r="C72" i="10"/>
  <c r="H57" i="4"/>
  <c r="G57" i="4"/>
  <c r="D90" i="4"/>
  <c r="E90" i="4"/>
  <c r="D60" i="4"/>
  <c r="E60" i="4"/>
  <c r="F60" i="4"/>
  <c r="F90" i="4" s="1"/>
  <c r="G60" i="4"/>
  <c r="G90" i="4" s="1"/>
  <c r="H60" i="4"/>
  <c r="H90" i="4" s="1"/>
  <c r="G58" i="4"/>
  <c r="F58" i="4"/>
  <c r="E58" i="4"/>
  <c r="D58" i="4"/>
  <c r="C58" i="4"/>
  <c r="D53" i="5"/>
  <c r="D58" i="5"/>
  <c r="K39" i="5"/>
  <c r="L39" i="5" s="1"/>
  <c r="M39" i="5" s="1"/>
  <c r="N39" i="5" s="1"/>
  <c r="O39" i="5" s="1"/>
  <c r="P39" i="5" s="1"/>
  <c r="Q39" i="5" s="1"/>
  <c r="R39" i="5" s="1"/>
  <c r="I35" i="5"/>
  <c r="H35" i="5"/>
  <c r="G35" i="5"/>
  <c r="D35" i="5"/>
  <c r="C24" i="5"/>
  <c r="I69" i="10"/>
  <c r="J33" i="5" s="1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 s="1"/>
  <c r="D6" i="4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C25" i="4"/>
  <c r="C19" i="4" s="1"/>
  <c r="C54" i="10" s="1"/>
  <c r="D61" i="10"/>
  <c r="D65" i="10" s="1"/>
  <c r="E61" i="10"/>
  <c r="E65" i="10" s="1"/>
  <c r="F61" i="10"/>
  <c r="F65" i="10" s="1"/>
  <c r="G61" i="10"/>
  <c r="G65" i="10" s="1"/>
  <c r="H61" i="10"/>
  <c r="H65" i="10" s="1"/>
  <c r="F62" i="10"/>
  <c r="G62" i="10"/>
  <c r="H62" i="10"/>
  <c r="C62" i="10"/>
  <c r="C61" i="10"/>
  <c r="C65" i="10" s="1"/>
  <c r="C63" i="10"/>
  <c r="D57" i="10"/>
  <c r="E57" i="10"/>
  <c r="F57" i="10"/>
  <c r="G57" i="10"/>
  <c r="H57" i="10"/>
  <c r="C57" i="10"/>
  <c r="D55" i="10"/>
  <c r="E55" i="10"/>
  <c r="F55" i="10"/>
  <c r="G55" i="10"/>
  <c r="H55" i="10"/>
  <c r="C55" i="10"/>
  <c r="D53" i="10"/>
  <c r="E53" i="10"/>
  <c r="F53" i="10"/>
  <c r="G53" i="10"/>
  <c r="H53" i="10"/>
  <c r="C53" i="10"/>
  <c r="D13" i="4"/>
  <c r="D51" i="10" s="1"/>
  <c r="E13" i="4"/>
  <c r="E51" i="10" s="1"/>
  <c r="F13" i="4"/>
  <c r="F51" i="10" s="1"/>
  <c r="G13" i="4"/>
  <c r="G51" i="10" s="1"/>
  <c r="H13" i="4"/>
  <c r="H51" i="10" s="1"/>
  <c r="C13" i="4"/>
  <c r="C51" i="10"/>
  <c r="B51" i="10"/>
  <c r="H31" i="4"/>
  <c r="F31" i="4"/>
  <c r="E31" i="4"/>
  <c r="C109" i="4"/>
  <c r="C119" i="4"/>
  <c r="D119" i="4"/>
  <c r="E119" i="4"/>
  <c r="F119" i="4"/>
  <c r="G119" i="4"/>
  <c r="H119" i="4"/>
  <c r="E109" i="4"/>
  <c r="D109" i="4"/>
  <c r="H109" i="4"/>
  <c r="G109" i="4"/>
  <c r="F109" i="4"/>
  <c r="F97" i="4"/>
  <c r="G97" i="4"/>
  <c r="H97" i="4"/>
  <c r="G50" i="4"/>
  <c r="F50" i="4"/>
  <c r="H50" i="4"/>
  <c r="D50" i="4"/>
  <c r="E25" i="4"/>
  <c r="E19" i="4" s="1"/>
  <c r="E21" i="4" s="1"/>
  <c r="D25" i="4"/>
  <c r="D19" i="4" s="1"/>
  <c r="D21" i="4" s="1"/>
  <c r="H19" i="4"/>
  <c r="H21" i="4" s="1"/>
  <c r="G19" i="4"/>
  <c r="G21" i="4" s="1"/>
  <c r="F19" i="4"/>
  <c r="F21" i="4" s="1"/>
  <c r="D14" i="4"/>
  <c r="E14" i="4"/>
  <c r="F14" i="4"/>
  <c r="G14" i="4"/>
  <c r="H14" i="4"/>
  <c r="C14" i="4"/>
  <c r="C8" i="11"/>
  <c r="C6" i="13" s="1"/>
  <c r="C8" i="13" s="1"/>
  <c r="B2" i="2"/>
  <c r="B37" i="2"/>
  <c r="B38" i="2" s="1"/>
  <c r="B39" i="2" s="1"/>
  <c r="B40" i="2" s="1"/>
  <c r="B41" i="2" s="1"/>
  <c r="B20" i="2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2" i="11"/>
  <c r="G35" i="11"/>
  <c r="F35" i="11"/>
  <c r="C47" i="11" s="1"/>
  <c r="G33" i="11"/>
  <c r="F33" i="11"/>
  <c r="C45" i="11" s="1"/>
  <c r="G32" i="11"/>
  <c r="F32" i="11"/>
  <c r="C44" i="11" s="1"/>
  <c r="F30" i="11"/>
  <c r="C42" i="11" s="1"/>
  <c r="G30" i="11"/>
  <c r="L18" i="10" l="1"/>
  <c r="L47" i="10" s="1"/>
  <c r="J12" i="10"/>
  <c r="J46" i="10"/>
  <c r="J10" i="10"/>
  <c r="J25" i="10"/>
  <c r="I78" i="10"/>
  <c r="J78" i="10" s="1"/>
  <c r="M19" i="10"/>
  <c r="L48" i="10"/>
  <c r="K12" i="10"/>
  <c r="L13" i="10"/>
  <c r="I46" i="10"/>
  <c r="I10" i="10"/>
  <c r="I25" i="10"/>
  <c r="I65" i="10"/>
  <c r="I79" i="10"/>
  <c r="J79" i="10" s="1"/>
  <c r="K79" i="10" s="1"/>
  <c r="L79" i="10" s="1"/>
  <c r="M79" i="10" s="1"/>
  <c r="N79" i="10" s="1"/>
  <c r="O79" i="10" s="1"/>
  <c r="P79" i="10" s="1"/>
  <c r="Q79" i="10" s="1"/>
  <c r="H107" i="10"/>
  <c r="I72" i="10"/>
  <c r="J72" i="10" s="1"/>
  <c r="I53" i="10"/>
  <c r="J53" i="10" s="1"/>
  <c r="K53" i="10" s="1"/>
  <c r="L53" i="10" s="1"/>
  <c r="M53" i="10" s="1"/>
  <c r="N53" i="10" s="1"/>
  <c r="O53" i="10" s="1"/>
  <c r="P53" i="10" s="1"/>
  <c r="Q53" i="10" s="1"/>
  <c r="D42" i="11"/>
  <c r="E42" i="11" s="1"/>
  <c r="D44" i="11"/>
  <c r="E44" i="11" s="1"/>
  <c r="D47" i="11"/>
  <c r="E47" i="11" s="1"/>
  <c r="G17" i="13"/>
  <c r="O17" i="13" s="1"/>
  <c r="G20" i="13"/>
  <c r="O20" i="13" s="1"/>
  <c r="P21" i="13"/>
  <c r="C64" i="13" s="1"/>
  <c r="N21" i="13"/>
  <c r="O21" i="13"/>
  <c r="G18" i="13"/>
  <c r="N18" i="13" s="1"/>
  <c r="G19" i="13"/>
  <c r="N19" i="13" s="1"/>
  <c r="S17" i="13"/>
  <c r="R17" i="13"/>
  <c r="R29" i="13"/>
  <c r="Q20" i="13"/>
  <c r="Q26" i="13" s="1"/>
  <c r="S18" i="13"/>
  <c r="D61" i="13" s="1"/>
  <c r="R18" i="13"/>
  <c r="R20" i="13"/>
  <c r="C10" i="11"/>
  <c r="I81" i="10"/>
  <c r="J81" i="10" s="1"/>
  <c r="K81" i="10" s="1"/>
  <c r="L81" i="10" s="1"/>
  <c r="M81" i="10" s="1"/>
  <c r="N81" i="10" s="1"/>
  <c r="O81" i="10" s="1"/>
  <c r="P81" i="10" s="1"/>
  <c r="Q81" i="10" s="1"/>
  <c r="I51" i="10"/>
  <c r="C10" i="13"/>
  <c r="G29" i="13" s="1"/>
  <c r="P29" i="13" s="1"/>
  <c r="C66" i="13" s="1"/>
  <c r="E107" i="10"/>
  <c r="G107" i="10"/>
  <c r="D107" i="10"/>
  <c r="F107" i="10"/>
  <c r="S19" i="13"/>
  <c r="D62" i="13" s="1"/>
  <c r="R19" i="13"/>
  <c r="S29" i="13"/>
  <c r="D66" i="13" s="1"/>
  <c r="P22" i="13"/>
  <c r="C65" i="13" s="1"/>
  <c r="O22" i="13"/>
  <c r="I116" i="10"/>
  <c r="I117" i="10"/>
  <c r="I96" i="10"/>
  <c r="D37" i="5"/>
  <c r="I37" i="5"/>
  <c r="E37" i="5"/>
  <c r="H37" i="5"/>
  <c r="G37" i="5"/>
  <c r="F37" i="5"/>
  <c r="D101" i="4"/>
  <c r="E36" i="5" s="1"/>
  <c r="I108" i="10"/>
  <c r="J108" i="10" s="1"/>
  <c r="I111" i="10"/>
  <c r="J111" i="10" s="1"/>
  <c r="I112" i="10"/>
  <c r="I113" i="10"/>
  <c r="J113" i="10" s="1"/>
  <c r="D105" i="10"/>
  <c r="I98" i="10"/>
  <c r="J98" i="10" s="1"/>
  <c r="I97" i="10"/>
  <c r="I91" i="10"/>
  <c r="J91" i="10" s="1"/>
  <c r="J92" i="10"/>
  <c r="I90" i="10"/>
  <c r="J86" i="10"/>
  <c r="I84" i="10"/>
  <c r="J87" i="10"/>
  <c r="I85" i="10"/>
  <c r="I57" i="10"/>
  <c r="I75" i="10"/>
  <c r="J75" i="10" s="1"/>
  <c r="I73" i="10"/>
  <c r="I77" i="10"/>
  <c r="I80" i="10"/>
  <c r="I74" i="10"/>
  <c r="J74" i="10" s="1"/>
  <c r="K74" i="10" s="1"/>
  <c r="L74" i="10" s="1"/>
  <c r="M74" i="10" s="1"/>
  <c r="N74" i="10" s="1"/>
  <c r="O74" i="10" s="1"/>
  <c r="P74" i="10" s="1"/>
  <c r="Q74" i="10" s="1"/>
  <c r="E54" i="10"/>
  <c r="F35" i="5"/>
  <c r="E62" i="10"/>
  <c r="D62" i="10"/>
  <c r="H54" i="10"/>
  <c r="G54" i="10"/>
  <c r="E35" i="5"/>
  <c r="F54" i="10"/>
  <c r="D54" i="10"/>
  <c r="J69" i="10"/>
  <c r="D60" i="10"/>
  <c r="I55" i="10"/>
  <c r="C97" i="4"/>
  <c r="E97" i="4"/>
  <c r="D97" i="4"/>
  <c r="E23" i="4"/>
  <c r="G23" i="4"/>
  <c r="H23" i="4"/>
  <c r="D23" i="4"/>
  <c r="F23" i="4"/>
  <c r="H35" i="11"/>
  <c r="G47" i="11" s="1"/>
  <c r="H33" i="11"/>
  <c r="G45" i="11" s="1"/>
  <c r="H32" i="11"/>
  <c r="G44" i="11" s="1"/>
  <c r="H30" i="11"/>
  <c r="G42" i="11" s="1"/>
  <c r="D6" i="10"/>
  <c r="E6" i="10" s="1"/>
  <c r="F6" i="10" s="1"/>
  <c r="G6" i="10" s="1"/>
  <c r="H6" i="10" s="1"/>
  <c r="I6" i="10" s="1"/>
  <c r="J6" i="10" s="1"/>
  <c r="K6" i="10" s="1"/>
  <c r="L6" i="10" s="1"/>
  <c r="M6" i="10" s="1"/>
  <c r="N6" i="10" s="1"/>
  <c r="O6" i="10" s="1"/>
  <c r="P6" i="10" s="1"/>
  <c r="Q6" i="10" s="1"/>
  <c r="B2" i="10"/>
  <c r="C19" i="5"/>
  <c r="C21" i="5" s="1"/>
  <c r="C13" i="5"/>
  <c r="C10" i="5" s="1"/>
  <c r="B2" i="5"/>
  <c r="H86" i="4"/>
  <c r="G86" i="4"/>
  <c r="F86" i="4"/>
  <c r="E86" i="4"/>
  <c r="D86" i="4"/>
  <c r="C86" i="4"/>
  <c r="H71" i="4"/>
  <c r="G71" i="4"/>
  <c r="F71" i="4"/>
  <c r="E71" i="4"/>
  <c r="E78" i="4" s="1"/>
  <c r="D71" i="4"/>
  <c r="D78" i="4" s="1"/>
  <c r="C71" i="4"/>
  <c r="C78" i="4" s="1"/>
  <c r="E50" i="4"/>
  <c r="C50" i="4"/>
  <c r="C60" i="4" s="1"/>
  <c r="C90" i="4" s="1"/>
  <c r="G31" i="4"/>
  <c r="D31" i="4"/>
  <c r="C31" i="4"/>
  <c r="C21" i="4"/>
  <c r="C23" i="4" s="1"/>
  <c r="C27" i="4" s="1"/>
  <c r="C15" i="4"/>
  <c r="H11" i="4"/>
  <c r="G11" i="4"/>
  <c r="F11" i="4"/>
  <c r="E11" i="4"/>
  <c r="D11" i="4"/>
  <c r="C11" i="4"/>
  <c r="B2" i="4"/>
  <c r="B9" i="2"/>
  <c r="B10" i="2" s="1"/>
  <c r="B11" i="2" s="1"/>
  <c r="B12" i="2" s="1"/>
  <c r="B13" i="2" s="1"/>
  <c r="B14" i="2" s="1"/>
  <c r="B17" i="1"/>
  <c r="B7" i="1"/>
  <c r="M18" i="10" l="1"/>
  <c r="M47" i="10" s="1"/>
  <c r="N18" i="10"/>
  <c r="K46" i="10"/>
  <c r="K25" i="10"/>
  <c r="K10" i="10"/>
  <c r="I54" i="10"/>
  <c r="J54" i="10" s="1"/>
  <c r="K54" i="10" s="1"/>
  <c r="L54" i="10" s="1"/>
  <c r="M54" i="10" s="1"/>
  <c r="N54" i="10" s="1"/>
  <c r="O54" i="10" s="1"/>
  <c r="P54" i="10" s="1"/>
  <c r="Q54" i="10" s="1"/>
  <c r="L12" i="10"/>
  <c r="M13" i="10"/>
  <c r="I44" i="10"/>
  <c r="I23" i="10"/>
  <c r="I10" i="4"/>
  <c r="I47" i="4" s="1"/>
  <c r="I120" i="10"/>
  <c r="J23" i="10"/>
  <c r="J44" i="10"/>
  <c r="J10" i="4"/>
  <c r="J76" i="4" s="1"/>
  <c r="J98" i="4" s="1"/>
  <c r="J120" i="10"/>
  <c r="M48" i="10"/>
  <c r="N19" i="10"/>
  <c r="J65" i="10"/>
  <c r="K65" i="10" s="1"/>
  <c r="L65" i="10" s="1"/>
  <c r="M65" i="10" s="1"/>
  <c r="N65" i="10" s="1"/>
  <c r="O65" i="10" s="1"/>
  <c r="P65" i="10" s="1"/>
  <c r="Q65" i="10" s="1"/>
  <c r="J117" i="10"/>
  <c r="C54" i="11"/>
  <c r="C55" i="11" s="1"/>
  <c r="C56" i="11" s="1"/>
  <c r="D43" i="11"/>
  <c r="E43" i="11" s="1"/>
  <c r="D46" i="11"/>
  <c r="E46" i="11" s="1"/>
  <c r="D45" i="11"/>
  <c r="E45" i="11" s="1"/>
  <c r="N17" i="13"/>
  <c r="P17" i="13"/>
  <c r="C60" i="13" s="1"/>
  <c r="O18" i="13"/>
  <c r="P20" i="13"/>
  <c r="C63" i="13" s="1"/>
  <c r="N20" i="13"/>
  <c r="P18" i="13"/>
  <c r="C61" i="13" s="1"/>
  <c r="P19" i="13"/>
  <c r="C62" i="13" s="1"/>
  <c r="Q27" i="13"/>
  <c r="E54" i="13"/>
  <c r="H54" i="13" s="1"/>
  <c r="K54" i="13" s="1"/>
  <c r="N54" i="13" s="1"/>
  <c r="F54" i="13"/>
  <c r="I54" i="13" s="1"/>
  <c r="L54" i="13" s="1"/>
  <c r="O54" i="13" s="1"/>
  <c r="D54" i="13"/>
  <c r="G54" i="13" s="1"/>
  <c r="J54" i="13" s="1"/>
  <c r="M54" i="13" s="1"/>
  <c r="F42" i="13"/>
  <c r="I42" i="13" s="1"/>
  <c r="L42" i="13" s="1"/>
  <c r="O42" i="13" s="1"/>
  <c r="Q25" i="13"/>
  <c r="F55" i="13"/>
  <c r="I55" i="13" s="1"/>
  <c r="L55" i="13" s="1"/>
  <c r="O55" i="13" s="1"/>
  <c r="D55" i="13"/>
  <c r="G55" i="13" s="1"/>
  <c r="J55" i="13" s="1"/>
  <c r="M55" i="13" s="1"/>
  <c r="E55" i="13"/>
  <c r="H55" i="13" s="1"/>
  <c r="K55" i="13" s="1"/>
  <c r="N55" i="13" s="1"/>
  <c r="D60" i="13"/>
  <c r="D56" i="13"/>
  <c r="G56" i="13" s="1"/>
  <c r="J56" i="13" s="1"/>
  <c r="M56" i="13" s="1"/>
  <c r="E56" i="13"/>
  <c r="H56" i="13" s="1"/>
  <c r="K56" i="13" s="1"/>
  <c r="N56" i="13" s="1"/>
  <c r="F56" i="13"/>
  <c r="I56" i="13" s="1"/>
  <c r="L56" i="13" s="1"/>
  <c r="O19" i="13"/>
  <c r="D42" i="13"/>
  <c r="G42" i="13" s="1"/>
  <c r="J42" i="13" s="1"/>
  <c r="M42" i="13" s="1"/>
  <c r="E42" i="13"/>
  <c r="H42" i="13" s="1"/>
  <c r="K42" i="13" s="1"/>
  <c r="N42" i="13" s="1"/>
  <c r="Q24" i="13"/>
  <c r="D44" i="13"/>
  <c r="G44" i="13" s="1"/>
  <c r="J44" i="13" s="1"/>
  <c r="S25" i="13"/>
  <c r="R26" i="13"/>
  <c r="J116" i="10"/>
  <c r="K116" i="10" s="1"/>
  <c r="K78" i="10"/>
  <c r="L78" i="10" s="1"/>
  <c r="M78" i="10" s="1"/>
  <c r="N78" i="10" s="1"/>
  <c r="O78" i="10" s="1"/>
  <c r="P78" i="10" s="1"/>
  <c r="Q78" i="10" s="1"/>
  <c r="N29" i="13"/>
  <c r="O29" i="13"/>
  <c r="I107" i="10"/>
  <c r="J107" i="10" s="1"/>
  <c r="K107" i="10" s="1"/>
  <c r="L107" i="10" s="1"/>
  <c r="M107" i="10" s="1"/>
  <c r="N107" i="10" s="1"/>
  <c r="O107" i="10" s="1"/>
  <c r="P107" i="10" s="1"/>
  <c r="Q107" i="10" s="1"/>
  <c r="J96" i="10"/>
  <c r="K96" i="10" s="1"/>
  <c r="L96" i="10" s="1"/>
  <c r="K69" i="10"/>
  <c r="K33" i="5"/>
  <c r="D43" i="13"/>
  <c r="F43" i="13"/>
  <c r="I43" i="13" s="1"/>
  <c r="L43" i="13" s="1"/>
  <c r="O43" i="13" s="1"/>
  <c r="R24" i="13"/>
  <c r="R25" i="13"/>
  <c r="R27" i="13"/>
  <c r="S24" i="13"/>
  <c r="S26" i="13"/>
  <c r="F44" i="13"/>
  <c r="I44" i="13" s="1"/>
  <c r="L44" i="13" s="1"/>
  <c r="S27" i="13"/>
  <c r="E43" i="13"/>
  <c r="H43" i="13" s="1"/>
  <c r="K43" i="13" s="1"/>
  <c r="N43" i="13" s="1"/>
  <c r="E44" i="13"/>
  <c r="H44" i="13" s="1"/>
  <c r="K44" i="13" s="1"/>
  <c r="J97" i="10"/>
  <c r="K97" i="10" s="1"/>
  <c r="J112" i="10"/>
  <c r="K111" i="10"/>
  <c r="K108" i="10"/>
  <c r="K113" i="10"/>
  <c r="E101" i="10"/>
  <c r="E105" i="10" s="1"/>
  <c r="F101" i="10" s="1"/>
  <c r="F105" i="10" s="1"/>
  <c r="J77" i="10"/>
  <c r="K77" i="10" s="1"/>
  <c r="K98" i="10"/>
  <c r="J73" i="10"/>
  <c r="K73" i="10" s="1"/>
  <c r="J90" i="10"/>
  <c r="K91" i="10"/>
  <c r="K92" i="10"/>
  <c r="J57" i="10"/>
  <c r="J84" i="10"/>
  <c r="J85" i="10"/>
  <c r="K86" i="10"/>
  <c r="K87" i="10"/>
  <c r="J80" i="10"/>
  <c r="K72" i="10"/>
  <c r="K75" i="10"/>
  <c r="C33" i="4"/>
  <c r="D32" i="5"/>
  <c r="D63" i="10"/>
  <c r="D66" i="10"/>
  <c r="J55" i="10"/>
  <c r="J51" i="10"/>
  <c r="G78" i="4"/>
  <c r="G88" i="4" s="1"/>
  <c r="G101" i="4"/>
  <c r="F78" i="4"/>
  <c r="F88" i="4" s="1"/>
  <c r="H78" i="4"/>
  <c r="H88" i="4" s="1"/>
  <c r="C88" i="4"/>
  <c r="D88" i="4"/>
  <c r="E88" i="4"/>
  <c r="C12" i="5"/>
  <c r="D27" i="4"/>
  <c r="D15" i="4"/>
  <c r="E27" i="4"/>
  <c r="E15" i="4"/>
  <c r="H15" i="4"/>
  <c r="H27" i="4"/>
  <c r="F27" i="4"/>
  <c r="F15" i="4"/>
  <c r="G15" i="4"/>
  <c r="G27" i="4"/>
  <c r="J116" i="4" l="1"/>
  <c r="J75" i="4"/>
  <c r="J18" i="4"/>
  <c r="J57" i="4"/>
  <c r="J100" i="4"/>
  <c r="I18" i="4"/>
  <c r="O18" i="10"/>
  <c r="N47" i="10"/>
  <c r="I104" i="10"/>
  <c r="I61" i="10"/>
  <c r="J37" i="5" s="1"/>
  <c r="I12" i="4"/>
  <c r="I14" i="4" s="1"/>
  <c r="I68" i="4"/>
  <c r="I82" i="4"/>
  <c r="I69" i="4"/>
  <c r="I70" i="4"/>
  <c r="I74" i="4"/>
  <c r="I46" i="4"/>
  <c r="I20" i="4"/>
  <c r="I67" i="4"/>
  <c r="I49" i="4"/>
  <c r="K117" i="10"/>
  <c r="L117" i="10" s="1"/>
  <c r="I84" i="4"/>
  <c r="J11" i="4"/>
  <c r="I66" i="4"/>
  <c r="J46" i="4"/>
  <c r="I55" i="4"/>
  <c r="I100" i="4"/>
  <c r="I115" i="4"/>
  <c r="J56" i="4"/>
  <c r="I30" i="4"/>
  <c r="I31" i="4" s="1"/>
  <c r="K23" i="10"/>
  <c r="K44" i="10"/>
  <c r="K120" i="10"/>
  <c r="K10" i="4"/>
  <c r="K57" i="4" s="1"/>
  <c r="N48" i="10"/>
  <c r="O19" i="10"/>
  <c r="J104" i="10"/>
  <c r="J99" i="4"/>
  <c r="I75" i="4"/>
  <c r="I116" i="4"/>
  <c r="I54" i="4"/>
  <c r="J49" i="4"/>
  <c r="J84" i="4"/>
  <c r="J67" i="4"/>
  <c r="N13" i="10"/>
  <c r="M12" i="10"/>
  <c r="L46" i="10"/>
  <c r="L10" i="10"/>
  <c r="L25" i="10"/>
  <c r="I57" i="4"/>
  <c r="I11" i="4"/>
  <c r="I76" i="4"/>
  <c r="I98" i="4" s="1"/>
  <c r="I56" i="4"/>
  <c r="J68" i="4"/>
  <c r="I99" i="4"/>
  <c r="J30" i="4"/>
  <c r="J31" i="4" s="1"/>
  <c r="I83" i="4"/>
  <c r="J19" i="4"/>
  <c r="J61" i="10"/>
  <c r="K37" i="5" s="1"/>
  <c r="J115" i="4"/>
  <c r="M44" i="13"/>
  <c r="O44" i="13"/>
  <c r="O56" i="13"/>
  <c r="N26" i="13"/>
  <c r="O27" i="13"/>
  <c r="F37" i="13" s="1"/>
  <c r="I37" i="13" s="1"/>
  <c r="L37" i="13" s="1"/>
  <c r="O37" i="13" s="1"/>
  <c r="N24" i="13"/>
  <c r="D36" i="13" s="1"/>
  <c r="G36" i="13" s="1"/>
  <c r="J36" i="13" s="1"/>
  <c r="M36" i="13" s="1"/>
  <c r="D49" i="13"/>
  <c r="G49" i="13" s="1"/>
  <c r="J49" i="13" s="1"/>
  <c r="M49" i="13" s="1"/>
  <c r="N25" i="13"/>
  <c r="E36" i="13" s="1"/>
  <c r="H36" i="13" s="1"/>
  <c r="K36" i="13" s="1"/>
  <c r="N36" i="13" s="1"/>
  <c r="F48" i="13"/>
  <c r="I48" i="13" s="1"/>
  <c r="L48" i="13" s="1"/>
  <c r="O48" i="13" s="1"/>
  <c r="O26" i="13"/>
  <c r="D50" i="13"/>
  <c r="G50" i="13" s="1"/>
  <c r="J50" i="13" s="1"/>
  <c r="M50" i="13" s="1"/>
  <c r="P26" i="13"/>
  <c r="P27" i="13"/>
  <c r="F38" i="13" s="1"/>
  <c r="I38" i="13" s="1"/>
  <c r="L38" i="13" s="1"/>
  <c r="F49" i="13"/>
  <c r="I49" i="13" s="1"/>
  <c r="L49" i="13" s="1"/>
  <c r="O49" i="13" s="1"/>
  <c r="N27" i="13"/>
  <c r="F36" i="13" s="1"/>
  <c r="I36" i="13" s="1"/>
  <c r="L36" i="13" s="1"/>
  <c r="O36" i="13" s="1"/>
  <c r="D48" i="13"/>
  <c r="G48" i="13" s="1"/>
  <c r="J48" i="13" s="1"/>
  <c r="M48" i="13" s="1"/>
  <c r="O24" i="13"/>
  <c r="D37" i="13" s="1"/>
  <c r="G37" i="13" s="1"/>
  <c r="J37" i="13" s="1"/>
  <c r="M37" i="13" s="1"/>
  <c r="P25" i="13"/>
  <c r="E50" i="13" s="1"/>
  <c r="H50" i="13" s="1"/>
  <c r="K50" i="13" s="1"/>
  <c r="N50" i="13" s="1"/>
  <c r="F50" i="13"/>
  <c r="I50" i="13" s="1"/>
  <c r="L50" i="13" s="1"/>
  <c r="P24" i="13"/>
  <c r="D38" i="13" s="1"/>
  <c r="G38" i="13" s="1"/>
  <c r="J38" i="13" s="1"/>
  <c r="O25" i="13"/>
  <c r="E37" i="13" s="1"/>
  <c r="H37" i="13" s="1"/>
  <c r="K37" i="13" s="1"/>
  <c r="N37" i="13" s="1"/>
  <c r="G43" i="13"/>
  <c r="J43" i="13" s="1"/>
  <c r="M43" i="13" s="1"/>
  <c r="N44" i="13"/>
  <c r="J82" i="4"/>
  <c r="J83" i="4"/>
  <c r="K112" i="10"/>
  <c r="L112" i="10" s="1"/>
  <c r="L69" i="10"/>
  <c r="L33" i="5"/>
  <c r="J66" i="4"/>
  <c r="L116" i="10"/>
  <c r="L113" i="10"/>
  <c r="L108" i="10"/>
  <c r="L111" i="10"/>
  <c r="G101" i="10"/>
  <c r="G105" i="10" s="1"/>
  <c r="M96" i="10"/>
  <c r="K57" i="10"/>
  <c r="L57" i="10" s="1"/>
  <c r="L97" i="10"/>
  <c r="L98" i="10"/>
  <c r="J47" i="4"/>
  <c r="K90" i="10"/>
  <c r="J74" i="4"/>
  <c r="L92" i="10"/>
  <c r="L91" i="10"/>
  <c r="L86" i="10"/>
  <c r="K85" i="10"/>
  <c r="J55" i="4"/>
  <c r="K84" i="10"/>
  <c r="J54" i="4"/>
  <c r="L87" i="10"/>
  <c r="I19" i="4"/>
  <c r="J70" i="4"/>
  <c r="E60" i="10"/>
  <c r="E63" i="10" s="1"/>
  <c r="K80" i="10"/>
  <c r="J69" i="4"/>
  <c r="L77" i="10"/>
  <c r="L72" i="10"/>
  <c r="L75" i="10"/>
  <c r="K49" i="4"/>
  <c r="L73" i="10"/>
  <c r="E101" i="4"/>
  <c r="D33" i="4"/>
  <c r="E32" i="5"/>
  <c r="H33" i="4"/>
  <c r="I32" i="5"/>
  <c r="E33" i="4"/>
  <c r="F32" i="5"/>
  <c r="G33" i="4"/>
  <c r="H32" i="5"/>
  <c r="F33" i="4"/>
  <c r="G32" i="5"/>
  <c r="C37" i="4"/>
  <c r="C96" i="4" s="1"/>
  <c r="C102" i="4" s="1"/>
  <c r="C123" i="4" s="1"/>
  <c r="C69" i="10"/>
  <c r="K55" i="10"/>
  <c r="J20" i="4"/>
  <c r="K51" i="10"/>
  <c r="L51" i="10" s="1"/>
  <c r="M51" i="10" s="1"/>
  <c r="N51" i="10" s="1"/>
  <c r="O51" i="10" s="1"/>
  <c r="P51" i="10" s="1"/>
  <c r="Q51" i="10" s="1"/>
  <c r="J12" i="4"/>
  <c r="J48" i="4" s="1"/>
  <c r="F101" i="4"/>
  <c r="K56" i="4" l="1"/>
  <c r="I48" i="4"/>
  <c r="I92" i="4" s="1"/>
  <c r="I101" i="4" s="1"/>
  <c r="J36" i="5" s="1"/>
  <c r="I13" i="4"/>
  <c r="K75" i="4"/>
  <c r="K76" i="4"/>
  <c r="K98" i="4" s="1"/>
  <c r="K116" i="4"/>
  <c r="K47" i="4"/>
  <c r="I71" i="4"/>
  <c r="I78" i="4" s="1"/>
  <c r="O47" i="10"/>
  <c r="P18" i="10"/>
  <c r="I21" i="4"/>
  <c r="I23" i="4" s="1"/>
  <c r="I107" i="4"/>
  <c r="I109" i="4" s="1"/>
  <c r="L44" i="10"/>
  <c r="L23" i="10"/>
  <c r="L10" i="4"/>
  <c r="L84" i="4" s="1"/>
  <c r="L120" i="10"/>
  <c r="O48" i="10"/>
  <c r="P19" i="10"/>
  <c r="J107" i="4"/>
  <c r="J109" i="4" s="1"/>
  <c r="M25" i="10"/>
  <c r="M10" i="10"/>
  <c r="M46" i="10"/>
  <c r="K99" i="4"/>
  <c r="O13" i="10"/>
  <c r="N12" i="10"/>
  <c r="K11" i="4"/>
  <c r="K18" i="4"/>
  <c r="K68" i="4"/>
  <c r="K104" i="10"/>
  <c r="K84" i="4"/>
  <c r="K100" i="4"/>
  <c r="K46" i="4"/>
  <c r="J21" i="4"/>
  <c r="K66" i="4"/>
  <c r="K82" i="4"/>
  <c r="K83" i="4"/>
  <c r="K115" i="4"/>
  <c r="O38" i="13"/>
  <c r="M38" i="13"/>
  <c r="O50" i="13"/>
  <c r="E48" i="13"/>
  <c r="H48" i="13" s="1"/>
  <c r="K48" i="13" s="1"/>
  <c r="N48" i="13" s="1"/>
  <c r="E38" i="13"/>
  <c r="H38" i="13" s="1"/>
  <c r="K38" i="13" s="1"/>
  <c r="N38" i="13" s="1"/>
  <c r="E49" i="13"/>
  <c r="H49" i="13" s="1"/>
  <c r="K49" i="13" s="1"/>
  <c r="N49" i="13" s="1"/>
  <c r="F60" i="10"/>
  <c r="F63" i="10" s="1"/>
  <c r="K30" i="4"/>
  <c r="K31" i="4" s="1"/>
  <c r="E66" i="10"/>
  <c r="D33" i="5"/>
  <c r="D34" i="5" s="1"/>
  <c r="D38" i="5" s="1"/>
  <c r="D40" i="5" s="1"/>
  <c r="M69" i="10"/>
  <c r="M33" i="5"/>
  <c r="J92" i="4"/>
  <c r="M116" i="10"/>
  <c r="M117" i="10"/>
  <c r="M108" i="10"/>
  <c r="M111" i="10"/>
  <c r="M113" i="10"/>
  <c r="M112" i="10"/>
  <c r="H101" i="10"/>
  <c r="H105" i="10" s="1"/>
  <c r="J71" i="4"/>
  <c r="J78" i="4" s="1"/>
  <c r="M97" i="10"/>
  <c r="K61" i="10"/>
  <c r="L37" i="5" s="1"/>
  <c r="M98" i="10"/>
  <c r="N96" i="10"/>
  <c r="K19" i="4"/>
  <c r="L90" i="10"/>
  <c r="K74" i="4"/>
  <c r="M91" i="10"/>
  <c r="M92" i="10"/>
  <c r="L84" i="10"/>
  <c r="K54" i="4"/>
  <c r="L85" i="10"/>
  <c r="K55" i="4"/>
  <c r="M86" i="10"/>
  <c r="M87" i="10"/>
  <c r="K67" i="4"/>
  <c r="L80" i="10"/>
  <c r="K69" i="4"/>
  <c r="K70" i="4"/>
  <c r="M77" i="10"/>
  <c r="M72" i="10"/>
  <c r="M73" i="10"/>
  <c r="M75" i="10"/>
  <c r="F37" i="4"/>
  <c r="F69" i="10"/>
  <c r="H37" i="4"/>
  <c r="H69" i="10"/>
  <c r="D37" i="4"/>
  <c r="D69" i="10"/>
  <c r="E37" i="4"/>
  <c r="E69" i="10"/>
  <c r="G37" i="4"/>
  <c r="G69" i="10"/>
  <c r="C38" i="4"/>
  <c r="I15" i="4"/>
  <c r="I121" i="10" s="1"/>
  <c r="M57" i="10"/>
  <c r="L55" i="10"/>
  <c r="K20" i="4"/>
  <c r="J13" i="4"/>
  <c r="J14" i="4"/>
  <c r="K12" i="4"/>
  <c r="K48" i="4" s="1"/>
  <c r="L83" i="4" l="1"/>
  <c r="L66" i="4"/>
  <c r="L76" i="4"/>
  <c r="L98" i="4" s="1"/>
  <c r="L99" i="4"/>
  <c r="L115" i="4"/>
  <c r="L75" i="4"/>
  <c r="L30" i="4"/>
  <c r="L31" i="4" s="1"/>
  <c r="L57" i="4"/>
  <c r="L61" i="10"/>
  <c r="M37" i="5" s="1"/>
  <c r="L100" i="4"/>
  <c r="L116" i="4"/>
  <c r="P47" i="10"/>
  <c r="Q18" i="10"/>
  <c r="Q47" i="10" s="1"/>
  <c r="L49" i="4"/>
  <c r="L12" i="4"/>
  <c r="L48" i="4" s="1"/>
  <c r="L47" i="4"/>
  <c r="L56" i="4"/>
  <c r="L19" i="4"/>
  <c r="L46" i="4"/>
  <c r="L104" i="10"/>
  <c r="F66" i="10"/>
  <c r="Q19" i="10"/>
  <c r="Q48" i="10" s="1"/>
  <c r="P48" i="10"/>
  <c r="P13" i="10"/>
  <c r="O12" i="10"/>
  <c r="M44" i="10"/>
  <c r="M23" i="10"/>
  <c r="M10" i="4"/>
  <c r="M99" i="4" s="1"/>
  <c r="M120" i="10"/>
  <c r="L11" i="4"/>
  <c r="L68" i="4"/>
  <c r="L82" i="4"/>
  <c r="L18" i="4"/>
  <c r="N10" i="10"/>
  <c r="N46" i="10"/>
  <c r="N25" i="10"/>
  <c r="G33" i="5"/>
  <c r="G34" i="5" s="1"/>
  <c r="G38" i="5" s="1"/>
  <c r="G40" i="5" s="1"/>
  <c r="H33" i="5"/>
  <c r="H34" i="5" s="1"/>
  <c r="H38" i="5" s="1"/>
  <c r="H40" i="5" s="1"/>
  <c r="F33" i="5"/>
  <c r="F34" i="5" s="1"/>
  <c r="F38" i="5" s="1"/>
  <c r="F40" i="5" s="1"/>
  <c r="E33" i="5"/>
  <c r="E34" i="5" s="1"/>
  <c r="E38" i="5" s="1"/>
  <c r="E40" i="5" s="1"/>
  <c r="I33" i="5"/>
  <c r="I34" i="5" s="1"/>
  <c r="I38" i="5" s="1"/>
  <c r="I40" i="5" s="1"/>
  <c r="N69" i="10"/>
  <c r="N33" i="5"/>
  <c r="K107" i="4"/>
  <c r="K109" i="4" s="1"/>
  <c r="N117" i="10"/>
  <c r="N116" i="10"/>
  <c r="K92" i="4"/>
  <c r="N113" i="10"/>
  <c r="N111" i="10"/>
  <c r="N108" i="10"/>
  <c r="N112" i="10"/>
  <c r="I101" i="10"/>
  <c r="O96" i="10"/>
  <c r="N98" i="10"/>
  <c r="N97" i="10"/>
  <c r="K21" i="4"/>
  <c r="N92" i="10"/>
  <c r="N91" i="10"/>
  <c r="M90" i="10"/>
  <c r="L74" i="4"/>
  <c r="N86" i="10"/>
  <c r="M85" i="10"/>
  <c r="L55" i="4"/>
  <c r="M84" i="10"/>
  <c r="L54" i="4"/>
  <c r="N87" i="10"/>
  <c r="K71" i="4"/>
  <c r="K78" i="4" s="1"/>
  <c r="L70" i="4"/>
  <c r="M80" i="10"/>
  <c r="L69" i="4"/>
  <c r="L67" i="4"/>
  <c r="N77" i="10"/>
  <c r="G60" i="10"/>
  <c r="G63" i="10" s="1"/>
  <c r="N75" i="10"/>
  <c r="N72" i="10"/>
  <c r="N73" i="10"/>
  <c r="G38" i="4"/>
  <c r="G96" i="4"/>
  <c r="G102" i="4" s="1"/>
  <c r="G123" i="4" s="1"/>
  <c r="E96" i="4"/>
  <c r="E102" i="4" s="1"/>
  <c r="E123" i="4" s="1"/>
  <c r="E38" i="4"/>
  <c r="H96" i="4"/>
  <c r="H102" i="4" s="1"/>
  <c r="H123" i="4" s="1"/>
  <c r="H38" i="4"/>
  <c r="D38" i="4"/>
  <c r="D96" i="4"/>
  <c r="D102" i="4" s="1"/>
  <c r="D123" i="4" s="1"/>
  <c r="F96" i="4"/>
  <c r="F102" i="4" s="1"/>
  <c r="F123" i="4" s="1"/>
  <c r="F38" i="4"/>
  <c r="N57" i="10"/>
  <c r="M55" i="10"/>
  <c r="L20" i="4"/>
  <c r="J23" i="4"/>
  <c r="J15" i="4"/>
  <c r="J121" i="10" s="1"/>
  <c r="M12" i="4"/>
  <c r="M48" i="4" s="1"/>
  <c r="K13" i="4"/>
  <c r="K14" i="4"/>
  <c r="M104" i="10" l="1"/>
  <c r="M61" i="10"/>
  <c r="N37" i="5" s="1"/>
  <c r="M47" i="4"/>
  <c r="M57" i="4"/>
  <c r="M76" i="4"/>
  <c r="M98" i="4" s="1"/>
  <c r="M46" i="4"/>
  <c r="L107" i="4"/>
  <c r="L109" i="4" s="1"/>
  <c r="L13" i="4"/>
  <c r="L14" i="4"/>
  <c r="M49" i="4"/>
  <c r="L21" i="4"/>
  <c r="M100" i="4"/>
  <c r="M56" i="4"/>
  <c r="M83" i="4"/>
  <c r="O10" i="10"/>
  <c r="O46" i="10"/>
  <c r="O25" i="10"/>
  <c r="N44" i="10"/>
  <c r="N23" i="10"/>
  <c r="N10" i="4"/>
  <c r="N99" i="4" s="1"/>
  <c r="N120" i="10"/>
  <c r="M11" i="4"/>
  <c r="M68" i="4"/>
  <c r="M82" i="4"/>
  <c r="M18" i="4"/>
  <c r="M19" i="4"/>
  <c r="M66" i="4"/>
  <c r="M84" i="4"/>
  <c r="M115" i="4"/>
  <c r="P12" i="10"/>
  <c r="Q13" i="10"/>
  <c r="Q12" i="10" s="1"/>
  <c r="M116" i="4"/>
  <c r="M30" i="4"/>
  <c r="M31" i="4" s="1"/>
  <c r="M75" i="4"/>
  <c r="L92" i="4"/>
  <c r="O69" i="10"/>
  <c r="O33" i="5"/>
  <c r="M107" i="4"/>
  <c r="M109" i="4" s="1"/>
  <c r="O116" i="10"/>
  <c r="O117" i="10"/>
  <c r="O108" i="10"/>
  <c r="O111" i="10"/>
  <c r="O113" i="10"/>
  <c r="N100" i="4"/>
  <c r="O112" i="10"/>
  <c r="O97" i="10"/>
  <c r="K101" i="4"/>
  <c r="L36" i="5" s="1"/>
  <c r="O98" i="10"/>
  <c r="P96" i="10"/>
  <c r="L71" i="4"/>
  <c r="L78" i="4" s="1"/>
  <c r="N90" i="10"/>
  <c r="M74" i="4"/>
  <c r="O91" i="10"/>
  <c r="O92" i="10"/>
  <c r="N84" i="10"/>
  <c r="M54" i="4"/>
  <c r="N85" i="10"/>
  <c r="M55" i="4"/>
  <c r="O86" i="10"/>
  <c r="O87" i="10"/>
  <c r="H60" i="10"/>
  <c r="H63" i="10" s="1"/>
  <c r="M67" i="4"/>
  <c r="M70" i="4"/>
  <c r="G66" i="10"/>
  <c r="N80" i="10"/>
  <c r="M69" i="4"/>
  <c r="O77" i="10"/>
  <c r="O73" i="10"/>
  <c r="O72" i="10"/>
  <c r="O75" i="10"/>
  <c r="O57" i="10"/>
  <c r="N55" i="10"/>
  <c r="M20" i="4"/>
  <c r="K23" i="4"/>
  <c r="K15" i="4"/>
  <c r="K121" i="10" s="1"/>
  <c r="M14" i="4"/>
  <c r="M13" i="4"/>
  <c r="L23" i="4" l="1"/>
  <c r="N75" i="4"/>
  <c r="L15" i="4"/>
  <c r="L121" i="10" s="1"/>
  <c r="M21" i="4"/>
  <c r="N57" i="4"/>
  <c r="N104" i="10"/>
  <c r="N49" i="4"/>
  <c r="N46" i="4"/>
  <c r="N56" i="4"/>
  <c r="N11" i="4"/>
  <c r="N68" i="4"/>
  <c r="N82" i="4"/>
  <c r="N18" i="4"/>
  <c r="N12" i="4"/>
  <c r="N14" i="4" s="1"/>
  <c r="N15" i="4" s="1"/>
  <c r="N121" i="10" s="1"/>
  <c r="N116" i="4"/>
  <c r="P10" i="10"/>
  <c r="P25" i="10"/>
  <c r="P46" i="10"/>
  <c r="N66" i="4"/>
  <c r="N115" i="4"/>
  <c r="N47" i="4"/>
  <c r="N19" i="4"/>
  <c r="N84" i="4"/>
  <c r="N30" i="4"/>
  <c r="N31" i="4" s="1"/>
  <c r="N83" i="4"/>
  <c r="O23" i="10"/>
  <c r="O44" i="10"/>
  <c r="Q46" i="10"/>
  <c r="Q25" i="10"/>
  <c r="Q10" i="10"/>
  <c r="N76" i="4"/>
  <c r="N98" i="4" s="1"/>
  <c r="N61" i="10"/>
  <c r="O37" i="5" s="1"/>
  <c r="P69" i="10"/>
  <c r="P33" i="5"/>
  <c r="M92" i="4"/>
  <c r="P117" i="10"/>
  <c r="P116" i="10"/>
  <c r="P113" i="10"/>
  <c r="P111" i="10"/>
  <c r="P108" i="10"/>
  <c r="P112" i="10"/>
  <c r="Q96" i="10"/>
  <c r="P98" i="10"/>
  <c r="P97" i="10"/>
  <c r="L101" i="4"/>
  <c r="M36" i="5" s="1"/>
  <c r="P92" i="10"/>
  <c r="P91" i="10"/>
  <c r="O90" i="10"/>
  <c r="N74" i="4"/>
  <c r="P86" i="10"/>
  <c r="O85" i="10"/>
  <c r="N55" i="4"/>
  <c r="O84" i="10"/>
  <c r="N54" i="4"/>
  <c r="P87" i="10"/>
  <c r="H66" i="10"/>
  <c r="M71" i="4"/>
  <c r="M78" i="4" s="1"/>
  <c r="N67" i="4"/>
  <c r="O80" i="10"/>
  <c r="N69" i="4"/>
  <c r="N70" i="4"/>
  <c r="P77" i="10"/>
  <c r="P73" i="10"/>
  <c r="P75" i="10"/>
  <c r="P72" i="10"/>
  <c r="I60" i="10"/>
  <c r="P57" i="10"/>
  <c r="O55" i="10"/>
  <c r="N20" i="4"/>
  <c r="M23" i="4"/>
  <c r="M15" i="4"/>
  <c r="M121" i="10" s="1"/>
  <c r="N21" i="4" l="1"/>
  <c r="N23" i="4" s="1"/>
  <c r="Q44" i="10"/>
  <c r="Q23" i="10"/>
  <c r="P23" i="10"/>
  <c r="P44" i="10"/>
  <c r="N107" i="4"/>
  <c r="N109" i="4" s="1"/>
  <c r="N48" i="4"/>
  <c r="N92" i="4" s="1"/>
  <c r="N13" i="4"/>
  <c r="I66" i="10"/>
  <c r="J66" i="10" s="1"/>
  <c r="K66" i="10" s="1"/>
  <c r="Q69" i="10"/>
  <c r="R33" i="5" s="1"/>
  <c r="Q33" i="5"/>
  <c r="Q116" i="10"/>
  <c r="Q117" i="10"/>
  <c r="Q108" i="10"/>
  <c r="Q111" i="10"/>
  <c r="Q113" i="10"/>
  <c r="Q112" i="10"/>
  <c r="Q97" i="10"/>
  <c r="Q98" i="10"/>
  <c r="P90" i="10"/>
  <c r="M101" i="4"/>
  <c r="N36" i="5" s="1"/>
  <c r="Q91" i="10"/>
  <c r="Q92" i="10"/>
  <c r="P84" i="10"/>
  <c r="P85" i="10"/>
  <c r="Q86" i="10"/>
  <c r="Q87" i="10"/>
  <c r="N71" i="4"/>
  <c r="N78" i="4" s="1"/>
  <c r="P80" i="10"/>
  <c r="Q77" i="10"/>
  <c r="Q72" i="10"/>
  <c r="Q75" i="10"/>
  <c r="Q73" i="10"/>
  <c r="Q57" i="10"/>
  <c r="P55" i="10"/>
  <c r="L66" i="10" l="1"/>
  <c r="M66" i="10" s="1"/>
  <c r="I62" i="10"/>
  <c r="N101" i="4"/>
  <c r="O36" i="5" s="1"/>
  <c r="Q90" i="10"/>
  <c r="Q84" i="10"/>
  <c r="Q85" i="10"/>
  <c r="Q80" i="10"/>
  <c r="I63" i="10"/>
  <c r="I25" i="4"/>
  <c r="Q55" i="10"/>
  <c r="N66" i="10" l="1"/>
  <c r="O66" i="10" s="1"/>
  <c r="O10" i="4"/>
  <c r="O120" i="10"/>
  <c r="J60" i="10"/>
  <c r="J62" i="10" s="1"/>
  <c r="J63" i="10" s="1"/>
  <c r="I53" i="4"/>
  <c r="I97" i="4"/>
  <c r="J35" i="5"/>
  <c r="I27" i="4"/>
  <c r="P66" i="10" l="1"/>
  <c r="Q66" i="10" s="1"/>
  <c r="Q10" i="4"/>
  <c r="Q120" i="10"/>
  <c r="P10" i="4"/>
  <c r="P120" i="10"/>
  <c r="O11" i="4"/>
  <c r="O68" i="4"/>
  <c r="O18" i="4"/>
  <c r="O12" i="4"/>
  <c r="O82" i="4"/>
  <c r="O99" i="4"/>
  <c r="O76" i="4"/>
  <c r="O98" i="4" s="1"/>
  <c r="O57" i="4"/>
  <c r="O49" i="4"/>
  <c r="O19" i="4"/>
  <c r="O104" i="10"/>
  <c r="O46" i="4"/>
  <c r="O61" i="10"/>
  <c r="P37" i="5" s="1"/>
  <c r="O56" i="4"/>
  <c r="O84" i="4"/>
  <c r="O66" i="4"/>
  <c r="O30" i="4"/>
  <c r="O31" i="4" s="1"/>
  <c r="O115" i="4"/>
  <c r="O83" i="4"/>
  <c r="O100" i="4"/>
  <c r="O75" i="4"/>
  <c r="O116" i="4"/>
  <c r="O47" i="4"/>
  <c r="O74" i="4"/>
  <c r="O69" i="4"/>
  <c r="O70" i="4"/>
  <c r="O67" i="4"/>
  <c r="O54" i="4"/>
  <c r="O55" i="4"/>
  <c r="O20" i="4"/>
  <c r="I58" i="4"/>
  <c r="J25" i="4"/>
  <c r="J97" i="4" s="1"/>
  <c r="K60" i="10"/>
  <c r="K62" i="10" s="1"/>
  <c r="K63" i="10" s="1"/>
  <c r="J53" i="4"/>
  <c r="I33" i="4"/>
  <c r="I35" i="4" s="1"/>
  <c r="I37" i="4" s="1"/>
  <c r="I102" i="10" s="1"/>
  <c r="J32" i="5"/>
  <c r="J34" i="5" s="1"/>
  <c r="J38" i="5" s="1"/>
  <c r="K25" i="4"/>
  <c r="O21" i="4" l="1"/>
  <c r="O71" i="4"/>
  <c r="P11" i="4"/>
  <c r="P68" i="4"/>
  <c r="P18" i="4"/>
  <c r="P82" i="4"/>
  <c r="P12" i="4"/>
  <c r="P14" i="4" s="1"/>
  <c r="P15" i="4" s="1"/>
  <c r="P121" i="10" s="1"/>
  <c r="P49" i="4"/>
  <c r="P99" i="4"/>
  <c r="P57" i="4"/>
  <c r="P47" i="4"/>
  <c r="P75" i="4"/>
  <c r="P61" i="10"/>
  <c r="Q37" i="5" s="1"/>
  <c r="P100" i="4"/>
  <c r="P76" i="4"/>
  <c r="P98" i="4" s="1"/>
  <c r="P30" i="4"/>
  <c r="P31" i="4" s="1"/>
  <c r="P83" i="4"/>
  <c r="P66" i="4"/>
  <c r="P84" i="4"/>
  <c r="P115" i="4"/>
  <c r="P46" i="4"/>
  <c r="P116" i="4"/>
  <c r="P56" i="4"/>
  <c r="P19" i="4"/>
  <c r="P104" i="10"/>
  <c r="P74" i="4"/>
  <c r="P70" i="4"/>
  <c r="P54" i="4"/>
  <c r="P20" i="4"/>
  <c r="P55" i="4"/>
  <c r="P67" i="4"/>
  <c r="P69" i="4"/>
  <c r="O48" i="4"/>
  <c r="O13" i="4"/>
  <c r="O107" i="4"/>
  <c r="O109" i="4" s="1"/>
  <c r="O14" i="4"/>
  <c r="O15" i="4" s="1"/>
  <c r="O121" i="10" s="1"/>
  <c r="Q11" i="4"/>
  <c r="Q68" i="4"/>
  <c r="Q18" i="4"/>
  <c r="Q12" i="4"/>
  <c r="Q82" i="4"/>
  <c r="Q14" i="4"/>
  <c r="Q15" i="4" s="1"/>
  <c r="Q121" i="10" s="1"/>
  <c r="Q49" i="4"/>
  <c r="Q61" i="10"/>
  <c r="R37" i="5" s="1"/>
  <c r="Q70" i="4"/>
  <c r="Q57" i="4"/>
  <c r="Q115" i="4"/>
  <c r="Q30" i="4"/>
  <c r="Q31" i="4" s="1"/>
  <c r="Q67" i="4"/>
  <c r="Q99" i="4"/>
  <c r="Q19" i="4"/>
  <c r="Q47" i="4"/>
  <c r="Q56" i="4"/>
  <c r="Q75" i="4"/>
  <c r="Q84" i="4"/>
  <c r="Q104" i="10"/>
  <c r="Q46" i="4"/>
  <c r="Q116" i="4"/>
  <c r="Q66" i="4"/>
  <c r="Q83" i="4"/>
  <c r="Q76" i="4"/>
  <c r="Q98" i="4" s="1"/>
  <c r="Q100" i="4"/>
  <c r="Q55" i="4"/>
  <c r="Q74" i="4"/>
  <c r="Q69" i="4"/>
  <c r="Q20" i="4"/>
  <c r="Q54" i="4"/>
  <c r="O78" i="4"/>
  <c r="O92" i="4"/>
  <c r="O101" i="4" s="1"/>
  <c r="P36" i="5" s="1"/>
  <c r="I103" i="10"/>
  <c r="I117" i="4" s="1"/>
  <c r="I119" i="4" s="1"/>
  <c r="J27" i="4"/>
  <c r="J33" i="4" s="1"/>
  <c r="J35" i="4" s="1"/>
  <c r="J37" i="4" s="1"/>
  <c r="J102" i="10" s="1"/>
  <c r="K35" i="5"/>
  <c r="J58" i="4"/>
  <c r="L60" i="10"/>
  <c r="L62" i="10" s="1"/>
  <c r="K53" i="4"/>
  <c r="L35" i="5"/>
  <c r="K97" i="4"/>
  <c r="K27" i="4"/>
  <c r="L63" i="10"/>
  <c r="L25" i="4"/>
  <c r="I96" i="4"/>
  <c r="I38" i="4"/>
  <c r="I122" i="10" s="1"/>
  <c r="O23" i="4" l="1"/>
  <c r="Q21" i="4"/>
  <c r="Q23" i="4" s="1"/>
  <c r="Q71" i="4"/>
  <c r="Q78" i="4" s="1"/>
  <c r="P48" i="4"/>
  <c r="P92" i="4" s="1"/>
  <c r="P101" i="4" s="1"/>
  <c r="Q36" i="5" s="1"/>
  <c r="P13" i="4"/>
  <c r="P107" i="4"/>
  <c r="P109" i="4" s="1"/>
  <c r="Q107" i="4"/>
  <c r="Q109" i="4" s="1"/>
  <c r="Q48" i="4"/>
  <c r="Q92" i="4" s="1"/>
  <c r="Q13" i="4"/>
  <c r="P71" i="4"/>
  <c r="P78" i="4" s="1"/>
  <c r="P21" i="4"/>
  <c r="P23" i="4" s="1"/>
  <c r="K32" i="5"/>
  <c r="K34" i="5" s="1"/>
  <c r="J103" i="10"/>
  <c r="J117" i="4" s="1"/>
  <c r="J119" i="4" s="1"/>
  <c r="I105" i="10"/>
  <c r="K58" i="4"/>
  <c r="M60" i="10"/>
  <c r="M62" i="10" s="1"/>
  <c r="M25" i="4" s="1"/>
  <c r="L53" i="4"/>
  <c r="L97" i="4"/>
  <c r="M35" i="5"/>
  <c r="L27" i="4"/>
  <c r="J96" i="4"/>
  <c r="J38" i="4"/>
  <c r="J122" i="10" s="1"/>
  <c r="K33" i="4"/>
  <c r="K35" i="4" s="1"/>
  <c r="K37" i="4" s="1"/>
  <c r="K102" i="10" s="1"/>
  <c r="L32" i="5"/>
  <c r="L34" i="5" s="1"/>
  <c r="L38" i="5" s="1"/>
  <c r="L40" i="5" s="1"/>
  <c r="Q101" i="4" l="1"/>
  <c r="R36" i="5" s="1"/>
  <c r="K103" i="10"/>
  <c r="K117" i="4" s="1"/>
  <c r="K119" i="4" s="1"/>
  <c r="J101" i="10"/>
  <c r="J105" i="10" s="1"/>
  <c r="I85" i="4"/>
  <c r="L58" i="4"/>
  <c r="M63" i="10"/>
  <c r="N60" i="10" s="1"/>
  <c r="K96" i="4"/>
  <c r="K102" i="4" s="1"/>
  <c r="K38" i="4"/>
  <c r="K122" i="10" s="1"/>
  <c r="N35" i="5"/>
  <c r="M97" i="4"/>
  <c r="M27" i="4"/>
  <c r="L33" i="4"/>
  <c r="L35" i="4" s="1"/>
  <c r="L37" i="4" s="1"/>
  <c r="L102" i="10" s="1"/>
  <c r="M32" i="5"/>
  <c r="M34" i="5" s="1"/>
  <c r="M38" i="5" s="1"/>
  <c r="M40" i="5" s="1"/>
  <c r="I86" i="4" l="1"/>
  <c r="I88" i="4" s="1"/>
  <c r="K123" i="4"/>
  <c r="L103" i="10"/>
  <c r="L117" i="4" s="1"/>
  <c r="L119" i="4" s="1"/>
  <c r="K101" i="10"/>
  <c r="K105" i="10" s="1"/>
  <c r="J85" i="4"/>
  <c r="J86" i="4" s="1"/>
  <c r="J88" i="4" s="1"/>
  <c r="N62" i="10"/>
  <c r="N25" i="4" s="1"/>
  <c r="O35" i="5" s="1"/>
  <c r="M53" i="4"/>
  <c r="L38" i="4"/>
  <c r="L122" i="10" s="1"/>
  <c r="L96" i="4"/>
  <c r="L102" i="4" s="1"/>
  <c r="M33" i="4"/>
  <c r="M35" i="4" s="1"/>
  <c r="M37" i="4" s="1"/>
  <c r="M102" i="10" s="1"/>
  <c r="N32" i="5"/>
  <c r="N34" i="5" s="1"/>
  <c r="N38" i="5" s="1"/>
  <c r="N40" i="5" s="1"/>
  <c r="L123" i="4" l="1"/>
  <c r="M103" i="10"/>
  <c r="M117" i="4" s="1"/>
  <c r="M119" i="4" s="1"/>
  <c r="K85" i="4"/>
  <c r="K86" i="4" s="1"/>
  <c r="K88" i="4" s="1"/>
  <c r="L101" i="10"/>
  <c r="L105" i="10" s="1"/>
  <c r="M58" i="4"/>
  <c r="N97" i="4"/>
  <c r="N27" i="4"/>
  <c r="N33" i="4" s="1"/>
  <c r="N35" i="4" s="1"/>
  <c r="N37" i="4" s="1"/>
  <c r="N102" i="10" s="1"/>
  <c r="N63" i="10"/>
  <c r="M96" i="4"/>
  <c r="M102" i="4" s="1"/>
  <c r="M38" i="4"/>
  <c r="M122" i="10" s="1"/>
  <c r="O32" i="5" l="1"/>
  <c r="O34" i="5" s="1"/>
  <c r="O38" i="5" s="1"/>
  <c r="O40" i="5" s="1"/>
  <c r="M123" i="4"/>
  <c r="N103" i="10"/>
  <c r="N117" i="4" s="1"/>
  <c r="N119" i="4" s="1"/>
  <c r="M101" i="10"/>
  <c r="M105" i="10" s="1"/>
  <c r="L85" i="4"/>
  <c r="L86" i="4" s="1"/>
  <c r="L88" i="4" s="1"/>
  <c r="N53" i="4"/>
  <c r="O60" i="10"/>
  <c r="N96" i="4"/>
  <c r="N102" i="4" s="1"/>
  <c r="N38" i="4"/>
  <c r="N122" i="10" s="1"/>
  <c r="N123" i="4" l="1"/>
  <c r="N101" i="10"/>
  <c r="N105" i="10" s="1"/>
  <c r="M85" i="4"/>
  <c r="M86" i="4" s="1"/>
  <c r="M88" i="4" s="1"/>
  <c r="N58" i="4"/>
  <c r="O62" i="10"/>
  <c r="O25" i="4" s="1"/>
  <c r="O101" i="10" l="1"/>
  <c r="N85" i="4"/>
  <c r="N86" i="4" s="1"/>
  <c r="N88" i="4" s="1"/>
  <c r="P35" i="5"/>
  <c r="O27" i="4"/>
  <c r="O97" i="4"/>
  <c r="O63" i="10"/>
  <c r="P60" i="10" l="1"/>
  <c r="O53" i="4"/>
  <c r="O33" i="4"/>
  <c r="O35" i="4" s="1"/>
  <c r="O37" i="4" s="1"/>
  <c r="O102" i="10" s="1"/>
  <c r="P32" i="5"/>
  <c r="P34" i="5" s="1"/>
  <c r="P38" i="5" s="1"/>
  <c r="P40" i="5" s="1"/>
  <c r="O103" i="10" l="1"/>
  <c r="O117" i="4" s="1"/>
  <c r="O119" i="4" s="1"/>
  <c r="O58" i="4"/>
  <c r="O38" i="4"/>
  <c r="O122" i="10" s="1"/>
  <c r="O96" i="4"/>
  <c r="O102" i="4" s="1"/>
  <c r="P62" i="10"/>
  <c r="P25" i="4" s="1"/>
  <c r="O123" i="4" l="1"/>
  <c r="O105" i="10"/>
  <c r="P63" i="10"/>
  <c r="Q60" i="10" s="1"/>
  <c r="P97" i="4"/>
  <c r="Q35" i="5"/>
  <c r="P27" i="4"/>
  <c r="P101" i="10" l="1"/>
  <c r="O85" i="4"/>
  <c r="O86" i="4" s="1"/>
  <c r="O88" i="4" s="1"/>
  <c r="P53" i="4"/>
  <c r="P58" i="4" s="1"/>
  <c r="P33" i="4"/>
  <c r="P35" i="4" s="1"/>
  <c r="P37" i="4" s="1"/>
  <c r="P102" i="10" s="1"/>
  <c r="Q32" i="5"/>
  <c r="Q34" i="5" s="1"/>
  <c r="Q38" i="5" s="1"/>
  <c r="Q40" i="5" s="1"/>
  <c r="Q62" i="10"/>
  <c r="Q25" i="4" s="1"/>
  <c r="Q63" i="10" l="1"/>
  <c r="Q53" i="4" s="1"/>
  <c r="Q58" i="4" s="1"/>
  <c r="P103" i="10"/>
  <c r="P117" i="4" s="1"/>
  <c r="P119" i="4" s="1"/>
  <c r="Q97" i="4"/>
  <c r="Q27" i="4"/>
  <c r="R35" i="5"/>
  <c r="P38" i="4"/>
  <c r="P122" i="10" s="1"/>
  <c r="P96" i="4"/>
  <c r="P102" i="4" s="1"/>
  <c r="P123" i="4" l="1"/>
  <c r="P105" i="10"/>
  <c r="R32" i="5"/>
  <c r="R34" i="5" s="1"/>
  <c r="R38" i="5" s="1"/>
  <c r="D47" i="5" s="1"/>
  <c r="Q33" i="4"/>
  <c r="Q35" i="4" s="1"/>
  <c r="Q37" i="4" s="1"/>
  <c r="Q102" i="10" s="1"/>
  <c r="Q103" i="10" l="1"/>
  <c r="Q117" i="4" s="1"/>
  <c r="Q119" i="4" s="1"/>
  <c r="Q101" i="10"/>
  <c r="P85" i="4"/>
  <c r="P86" i="4" s="1"/>
  <c r="P88" i="4" s="1"/>
  <c r="Q96" i="4"/>
  <c r="Q102" i="4" s="1"/>
  <c r="Q38" i="4"/>
  <c r="Q122" i="10" s="1"/>
  <c r="R40" i="5"/>
  <c r="Q123" i="4" l="1"/>
  <c r="Q105" i="10"/>
  <c r="Q85" i="4" s="1"/>
  <c r="Q86" i="4" s="1"/>
  <c r="Q88" i="4" s="1"/>
  <c r="J101" i="4"/>
  <c r="K36" i="5" s="1"/>
  <c r="I102" i="4" l="1"/>
  <c r="I123" i="4" s="1"/>
  <c r="I45" i="4" s="1"/>
  <c r="J40" i="5"/>
  <c r="J102" i="4"/>
  <c r="J123" i="4" s="1"/>
  <c r="K38" i="5"/>
  <c r="K40" i="5" s="1"/>
  <c r="D49" i="5" l="1"/>
  <c r="D51" i="5" s="1"/>
  <c r="D48" i="5" s="1"/>
  <c r="I50" i="4"/>
  <c r="I60" i="4" s="1"/>
  <c r="I90" i="4" s="1"/>
  <c r="J45" i="4"/>
  <c r="K45" i="4" l="1"/>
  <c r="J50" i="4"/>
  <c r="J60" i="4" s="1"/>
  <c r="J90" i="4" s="1"/>
  <c r="D50" i="5"/>
  <c r="D55" i="5" l="1"/>
  <c r="D57" i="5" s="1"/>
  <c r="L45" i="4"/>
  <c r="K50" i="4"/>
  <c r="K60" i="4" s="1"/>
  <c r="K90" i="4" s="1"/>
  <c r="H48" i="5" l="1"/>
  <c r="D173" i="10"/>
  <c r="D59" i="5"/>
  <c r="M45" i="4"/>
  <c r="L50" i="4"/>
  <c r="L60" i="4" s="1"/>
  <c r="L90" i="4" s="1"/>
  <c r="D179" i="10" l="1"/>
  <c r="E173" i="10"/>
  <c r="N45" i="4"/>
  <c r="M50" i="4"/>
  <c r="M60" i="4" s="1"/>
  <c r="M90" i="4" s="1"/>
  <c r="D181" i="10" l="1"/>
  <c r="E179" i="10"/>
  <c r="O45" i="4"/>
  <c r="N50" i="4"/>
  <c r="N60" i="4" s="1"/>
  <c r="N90" i="4" s="1"/>
  <c r="P45" i="4" l="1"/>
  <c r="O50" i="4"/>
  <c r="O60" i="4" s="1"/>
  <c r="O90" i="4" s="1"/>
  <c r="Q45" i="4" l="1"/>
  <c r="Q50" i="4" s="1"/>
  <c r="Q60" i="4" s="1"/>
  <c r="Q90" i="4" s="1"/>
  <c r="P50" i="4"/>
  <c r="P60" i="4" s="1"/>
  <c r="P90" i="4" s="1"/>
  <c r="C161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saud</author>
  </authors>
  <commentList>
    <comment ref="B19" authorId="0" shapeId="0" xr:uid="{CBF4FC3D-91FB-4EA5-830C-1F1D95847D54}">
      <text>
        <r>
          <rPr>
            <b/>
            <sz val="9"/>
            <color indexed="81"/>
            <rFont val="Tahoma"/>
            <family val="2"/>
          </rPr>
          <t>saud:</t>
        </r>
        <r>
          <rPr>
            <sz val="9"/>
            <color indexed="81"/>
            <rFont val="Tahoma"/>
            <family val="2"/>
          </rPr>
          <t xml:space="preserve">
Includes D&amp;A within, so subtracted to avoid double counting
</t>
        </r>
      </text>
    </comment>
    <comment ref="B97" authorId="0" shapeId="0" xr:uid="{62422CA2-9AB9-4968-94B2-BB7EC468EF01}">
      <text>
        <r>
          <rPr>
            <b/>
            <sz val="9"/>
            <color indexed="81"/>
            <rFont val="Tahoma"/>
            <family val="2"/>
          </rPr>
          <t>saud:</t>
        </r>
        <r>
          <rPr>
            <sz val="9"/>
            <color indexed="81"/>
            <rFont val="Tahoma"/>
            <family val="2"/>
          </rPr>
          <t xml:space="preserve">
Separated on their cash flow statement but combined here to be consistent with 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Kyle Tsuji</author>
  </authors>
  <commentList>
    <comment ref="B47" authorId="0" shapeId="0" xr:uid="{2A2FF407-099F-41EF-8ECB-84D204F09D33}">
      <text>
        <r>
          <rPr>
            <b/>
            <sz val="9"/>
            <color indexed="81"/>
            <rFont val="Tahoma"/>
            <charset val="1"/>
          </rPr>
          <t>Kyle Tsuji:</t>
        </r>
        <r>
          <rPr>
            <sz val="9"/>
            <color indexed="81"/>
            <rFont val="Tahoma"/>
            <charset val="1"/>
          </rPr>
          <t xml:space="preserve">
We modified your formula to take the PV of the TV, as before the TV was not discounted back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Kyle Tsuji</author>
  </authors>
  <commentList>
    <comment ref="B80" authorId="0" shapeId="0" xr:uid="{588C68EA-B448-4756-97A1-283920808394}">
      <text>
        <r>
          <rPr>
            <b/>
            <sz val="9"/>
            <color indexed="81"/>
            <rFont val="Tahoma"/>
            <family val="2"/>
          </rPr>
          <t>Kyle Tsuji:</t>
        </r>
        <r>
          <rPr>
            <sz val="9"/>
            <color indexed="81"/>
            <rFont val="Tahoma"/>
            <family val="2"/>
          </rPr>
          <t xml:space="preserve">
This may need to be as a % of Opex or SG&amp;A im not sure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Purcell</author>
  </authors>
  <commentList>
    <comment ref="G23" authorId="0" shapeId="0" xr:uid="{A96174C3-F8B7-422B-9818-1DF449CD3CCF}">
      <text>
        <r>
          <rPr>
            <b/>
            <sz val="9"/>
            <color indexed="81"/>
            <rFont val="Tahoma"/>
            <family val="2"/>
          </rPr>
          <t>Patrick Purcell:</t>
        </r>
        <r>
          <rPr>
            <sz val="9"/>
            <color indexed="81"/>
            <rFont val="Tahoma"/>
            <family val="2"/>
          </rPr>
          <t xml:space="preserve">
Given in SEC filings</t>
        </r>
      </text>
    </comment>
    <comment ref="H23" authorId="0" shapeId="0" xr:uid="{2F79AF06-05B4-4E3E-B17A-EE0057CB6905}">
      <text>
        <r>
          <rPr>
            <b/>
            <sz val="9"/>
            <color indexed="81"/>
            <rFont val="Tahoma"/>
            <family val="2"/>
          </rPr>
          <t>Patrick Purcell:</t>
        </r>
        <r>
          <rPr>
            <sz val="9"/>
            <color indexed="81"/>
            <rFont val="Tahoma"/>
            <family val="2"/>
          </rPr>
          <t xml:space="preserve">
Offer price was $24/share, using adjusted EPS of 1.37</t>
        </r>
      </text>
    </comment>
    <comment ref="G24" authorId="0" shapeId="0" xr:uid="{2B656B5A-1052-4484-AAA8-610283CC43DD}">
      <text>
        <r>
          <rPr>
            <b/>
            <sz val="9"/>
            <color indexed="81"/>
            <rFont val="Tahoma"/>
            <family val="2"/>
          </rPr>
          <t>Patrick Purcell:</t>
        </r>
        <r>
          <rPr>
            <sz val="9"/>
            <color indexed="81"/>
            <rFont val="Tahoma"/>
            <family val="2"/>
          </rPr>
          <t xml:space="preserve">
EBITDA not disclosed, only the multiple celing (&lt;15x)</t>
        </r>
      </text>
    </comment>
    <comment ref="E25" authorId="0" shapeId="0" xr:uid="{2C437404-DE38-463F-8F61-A55FE2A7F468}">
      <text>
        <r>
          <rPr>
            <b/>
            <sz val="9"/>
            <color indexed="81"/>
            <rFont val="Tahoma"/>
            <family val="2"/>
          </rPr>
          <t>Patrick Purcell:</t>
        </r>
        <r>
          <rPr>
            <sz val="9"/>
            <color indexed="81"/>
            <rFont val="Tahoma"/>
            <family val="2"/>
          </rPr>
          <t xml:space="preserve">
in Euros</t>
        </r>
      </text>
    </comment>
    <comment ref="G26" authorId="0" shapeId="0" xr:uid="{C5835153-01FF-4FB3-B511-3D54633F5C8B}">
      <text>
        <r>
          <rPr>
            <b/>
            <sz val="9"/>
            <color indexed="81"/>
            <rFont val="Tahoma"/>
            <family val="2"/>
          </rPr>
          <t>Patrick Purcell:</t>
        </r>
        <r>
          <rPr>
            <sz val="9"/>
            <color indexed="81"/>
            <rFont val="Tahoma"/>
            <family val="2"/>
          </rPr>
          <t xml:space="preserve">
EBITDA is impairment adjusted</t>
        </r>
      </text>
    </comment>
  </commentList>
</comments>
</file>

<file path=xl/sharedStrings.xml><?xml version="1.0" encoding="utf-8"?>
<sst xmlns="http://schemas.openxmlformats.org/spreadsheetml/2006/main" count="550" uniqueCount="397">
  <si>
    <t>Company</t>
  </si>
  <si>
    <t>Nike</t>
  </si>
  <si>
    <t>Ticker</t>
  </si>
  <si>
    <t>NYSE: NKE</t>
  </si>
  <si>
    <t>Price</t>
  </si>
  <si>
    <t>Team Number</t>
  </si>
  <si>
    <t>Sauder Capital Markets Challenge</t>
  </si>
  <si>
    <t>First Round Case</t>
  </si>
  <si>
    <t>Case Sponsor</t>
  </si>
  <si>
    <t>Gold Sponsor</t>
  </si>
  <si>
    <t>Board of Directors</t>
  </si>
  <si>
    <t xml:space="preserve">Financial Model </t>
  </si>
  <si>
    <t>Instructions</t>
  </si>
  <si>
    <t>General Instructions</t>
  </si>
  <si>
    <t>Follow the color and formatting guide below</t>
  </si>
  <si>
    <t>Keep all financial statements on an annual basis</t>
  </si>
  <si>
    <t>All figures should be in $USDm unless otherwise specified</t>
  </si>
  <si>
    <t xml:space="preserve">Do not overwrite formulas on the existing model. Add new lines only. </t>
  </si>
  <si>
    <t>Keep all schedules in the "Supporting Schedules" tab</t>
  </si>
  <si>
    <t>Do not delete or add any tabs</t>
  </si>
  <si>
    <t>Teams are permitted to use Generative AI to learn concepts; other uses must be disclosed in the pitch deck as references</t>
  </si>
  <si>
    <t>DCF Valuation Instructions</t>
  </si>
  <si>
    <t>Pull the company's historical financials from its filings or a data provider</t>
  </si>
  <si>
    <t>Map the figures into the Financial Statements tab and use the same name lines as the template</t>
  </si>
  <si>
    <t>Add or remove detail by inserting new rows while keeping the final subtotals aligned</t>
  </si>
  <si>
    <t>Ensure all new rows link correctly to the relevant totals</t>
  </si>
  <si>
    <t>If historical numbers require reclassification, adjust them so that revenue, COGS, operating costs, depreciation, taxes, working capital, capital spending, and interest items align with the structure given</t>
  </si>
  <si>
    <t>Forecast revenue, margins, operating costs, depreciation, interest, taxes, and any other required items</t>
  </si>
  <si>
    <t>Keep formulas in black for any pattern that repeats across multiple periods</t>
  </si>
  <si>
    <t>Create supporting schedules to drive items in the cash flow statement and tie them into the balance sheet; suggested schedules are in the Supporting Schedules tab</t>
  </si>
  <si>
    <t>Go to the DCF valuation tab and link free cash flow from the statements</t>
  </si>
  <si>
    <t>Compute the present value of each free cash flow year in black</t>
  </si>
  <si>
    <t>Enter WACC inputs, terminal growth, and other assumptions in blue in the yellow input box</t>
  </si>
  <si>
    <t>Confirm that the model produces a final implied share price and implied upside</t>
  </si>
  <si>
    <t>Optional: add charts, summary tables, and additional outputs for presentation use</t>
  </si>
  <si>
    <t>Comparable &amp; Precedent Transaction Valuation  Instructions</t>
  </si>
  <si>
    <t>Select comparable companies and precedent transactions</t>
  </si>
  <si>
    <t>Include rationale  briefly in far right column for the precedent transactions</t>
  </si>
  <si>
    <t>Populate cells with comparable companies' relevant data points</t>
  </si>
  <si>
    <t>Populate cells with precedent transactions relevant deal multiples</t>
  </si>
  <si>
    <t>Fill out target company's relevant financial data points</t>
  </si>
  <si>
    <t>Upon all fields being completed, an implied transaction value will populate</t>
  </si>
  <si>
    <t>Formatting Guides</t>
  </si>
  <si>
    <t>Color Formatting Guide</t>
  </si>
  <si>
    <t>Color</t>
  </si>
  <si>
    <t>Description</t>
  </si>
  <si>
    <t>Hex Code</t>
  </si>
  <si>
    <t>Blue</t>
  </si>
  <si>
    <t>Hardcoded values</t>
  </si>
  <si>
    <t>#0000FF</t>
  </si>
  <si>
    <t>Black</t>
  </si>
  <si>
    <t>Formulas; calculated values</t>
  </si>
  <si>
    <t>#000000</t>
  </si>
  <si>
    <t>Green</t>
  </si>
  <si>
    <t>Reference within sheet</t>
  </si>
  <si>
    <t>#009B00</t>
  </si>
  <si>
    <t>Red</t>
  </si>
  <si>
    <t>Reference to another sheet</t>
  </si>
  <si>
    <t>#FF0000</t>
  </si>
  <si>
    <t>Yellow Fill</t>
  </si>
  <si>
    <t>Forecasted figures</t>
  </si>
  <si>
    <t>#FFF2CC</t>
  </si>
  <si>
    <t>Number Formatting Guide</t>
  </si>
  <si>
    <t>Example</t>
  </si>
  <si>
    <t>Format</t>
  </si>
  <si>
    <t>Whole number value</t>
  </si>
  <si>
    <t>#,##0; (#,##0);-</t>
  </si>
  <si>
    <t>Percentage</t>
  </si>
  <si>
    <t>0.00%;(0.00%);-</t>
  </si>
  <si>
    <t>Decimated number</t>
  </si>
  <si>
    <t>0.00;(0.00);-</t>
  </si>
  <si>
    <t>Multiple</t>
  </si>
  <si>
    <t>0.00x;(0.00x);-</t>
  </si>
  <si>
    <t xml:space="preserve"> </t>
  </si>
  <si>
    <t>Financial Statements</t>
  </si>
  <si>
    <t>Years</t>
  </si>
  <si>
    <t>Revenue Build</t>
  </si>
  <si>
    <t>Segments:</t>
  </si>
  <si>
    <t xml:space="preserve">    Nike</t>
  </si>
  <si>
    <t xml:space="preserve">      Footwear</t>
  </si>
  <si>
    <t xml:space="preserve">      Apparel</t>
  </si>
  <si>
    <t xml:space="preserve">      Equipment</t>
  </si>
  <si>
    <t xml:space="preserve">      Global Brand Divisions</t>
  </si>
  <si>
    <t xml:space="preserve">    Converse</t>
  </si>
  <si>
    <t xml:space="preserve">    Corporate</t>
  </si>
  <si>
    <t>Assumptions</t>
  </si>
  <si>
    <t>V</t>
  </si>
  <si>
    <t>Revenue Growth</t>
  </si>
  <si>
    <t>Nike Growth</t>
  </si>
  <si>
    <t xml:space="preserve">      Footwear Growth</t>
  </si>
  <si>
    <t xml:space="preserve">      Apparel Growth</t>
  </si>
  <si>
    <t xml:space="preserve">      Equipment Growth</t>
  </si>
  <si>
    <t xml:space="preserve">      Global Brand Divisions Growth</t>
  </si>
  <si>
    <t xml:space="preserve">    Converse Growth</t>
  </si>
  <si>
    <t xml:space="preserve">    Corporate Growth</t>
  </si>
  <si>
    <t>Consensus</t>
  </si>
  <si>
    <t>Revenue</t>
  </si>
  <si>
    <t>Converse</t>
  </si>
  <si>
    <t>Corporate</t>
  </si>
  <si>
    <t>Check: Deviation From Consensus</t>
  </si>
  <si>
    <t>Income Statement</t>
  </si>
  <si>
    <t>Revenue Growth %</t>
  </si>
  <si>
    <t>Cost of Sales</t>
  </si>
  <si>
    <t>COGS Margin %</t>
  </si>
  <si>
    <t>Equals: Gross Profit</t>
  </si>
  <si>
    <t>Gross Profit %</t>
  </si>
  <si>
    <t>Operating Expenses</t>
  </si>
  <si>
    <t>Demand Creation Expense</t>
  </si>
  <si>
    <t>Operating Overhead Expense</t>
  </si>
  <si>
    <t>Other Operating Expense</t>
  </si>
  <si>
    <t>Total Operating Expenses</t>
  </si>
  <si>
    <t>EBITDA</t>
  </si>
  <si>
    <t>Depreciation &amp; Amortization</t>
  </si>
  <si>
    <t>EBIT</t>
  </si>
  <si>
    <t>Non-Operating Expenses</t>
  </si>
  <si>
    <t>Interest Expense (Income), Net</t>
  </si>
  <si>
    <t>Total Non-Operating Expenses</t>
  </si>
  <si>
    <t xml:space="preserve">EBT </t>
  </si>
  <si>
    <t>Income Tax Expense</t>
  </si>
  <si>
    <t>Net Income (Loss)</t>
  </si>
  <si>
    <t>Net Income %</t>
  </si>
  <si>
    <t>Balance Sheet</t>
  </si>
  <si>
    <t>Assets</t>
  </si>
  <si>
    <t>Current Assets</t>
  </si>
  <si>
    <t>Cash And Cash Equivalents</t>
  </si>
  <si>
    <t>Short-Term Investments</t>
  </si>
  <si>
    <t>Accounts Recievable, Net</t>
  </si>
  <si>
    <t>Inventories</t>
  </si>
  <si>
    <t>Prepaid Expenses and Other Current Assets</t>
  </si>
  <si>
    <t>Total Current Assets</t>
  </si>
  <si>
    <t>Non-Current Assets</t>
  </si>
  <si>
    <t>Property, Plant &amp; Equipment, Net</t>
  </si>
  <si>
    <t>Operating Lease Right-of-Use Assets, Net</t>
  </si>
  <si>
    <t>Identifiable Intangible Assets, Net</t>
  </si>
  <si>
    <t>Goodwill</t>
  </si>
  <si>
    <t>Deferred Income Taxes and Other Assets</t>
  </si>
  <si>
    <t>Total Non-Current Assets</t>
  </si>
  <si>
    <t>Total Assets</t>
  </si>
  <si>
    <t>Liabilities</t>
  </si>
  <si>
    <t>Current Liabilities</t>
  </si>
  <si>
    <t>Current Portion of Long-Term Debt</t>
  </si>
  <si>
    <t>Notes Payable</t>
  </si>
  <si>
    <t>Accounts Payable</t>
  </si>
  <si>
    <t>Current Portion of Operating Lease Liabilities</t>
  </si>
  <si>
    <t>Accrued Liabilities</t>
  </si>
  <si>
    <t>Income Taxes Payable</t>
  </si>
  <si>
    <t>Total Current Liabilities</t>
  </si>
  <si>
    <t>Non-Current Liabilities</t>
  </si>
  <si>
    <t>Long-Term Debt</t>
  </si>
  <si>
    <t>Operating Lease Liabilities</t>
  </si>
  <si>
    <t>Deferred Income Taxes and Other Liabilities</t>
  </si>
  <si>
    <t>Other Non-Current Liabilities</t>
  </si>
  <si>
    <t>Total Liabilities</t>
    <phoneticPr fontId="0" type="noConversion"/>
  </si>
  <si>
    <t>Shareholders' Equity</t>
  </si>
  <si>
    <t>Class B Convertible</t>
  </si>
  <si>
    <t>Capital in Excess of Stated Value</t>
  </si>
  <si>
    <t>Accumulated Other Comprehensive Income (Loss)</t>
  </si>
  <si>
    <t>Retained Earnings (Deficit)</t>
  </si>
  <si>
    <t>Total Shareholders' Equity</t>
    <phoneticPr fontId="0" type="noConversion"/>
  </si>
  <si>
    <t>Total Liabilities &amp; Shareholders' Equity</t>
  </si>
  <si>
    <t>Check: A = L + E</t>
  </si>
  <si>
    <t>Operating Working Capital</t>
  </si>
  <si>
    <t>Cash Flow Statement</t>
  </si>
  <si>
    <t>Net Income</t>
  </si>
  <si>
    <t>Deferred Income Taxes</t>
  </si>
  <si>
    <t>Stock-Based Compensation</t>
  </si>
  <si>
    <t>Net Foreign Currency Adjustments</t>
  </si>
  <si>
    <t>Change in Operating Working Capital</t>
  </si>
  <si>
    <t>Cash Flow from Operating Activities</t>
  </si>
  <si>
    <t>Purchases of Short-Term Investments</t>
  </si>
  <si>
    <t>Maturities of Short-Term Investments</t>
  </si>
  <si>
    <t>Sales of Short-Term Investments</t>
  </si>
  <si>
    <t>Additions to PP&amp;E</t>
  </si>
  <si>
    <t>Other Investing Activities</t>
  </si>
  <si>
    <t>Cash Flow from Investing Activities</t>
  </si>
  <si>
    <t>Proceeds From Borrowing, Net of Debt Issuance Costs</t>
  </si>
  <si>
    <t>Increase (Decrease) in Notes Payable, Net</t>
  </si>
  <si>
    <t>Repayment of Borrowings</t>
  </si>
  <si>
    <t>Proceeds From Exercise of Stock Options and Other Stock Issuances</t>
  </si>
  <si>
    <t>Repurchase of Common Stock</t>
  </si>
  <si>
    <t>Dividends - Common and Preferred</t>
  </si>
  <si>
    <t xml:space="preserve">Other Financing Activites </t>
  </si>
  <si>
    <t>Cash Flow from Financing Activities</t>
  </si>
  <si>
    <t>Effect of Foreign Exchange Rates</t>
  </si>
  <si>
    <t>Net Change in Cash</t>
  </si>
  <si>
    <t>Supporting Schedules</t>
  </si>
  <si>
    <t xml:space="preserve">Costs </t>
  </si>
  <si>
    <t>Demand Creation Expense Margin %</t>
  </si>
  <si>
    <t>Operating Overhead Expense Margin %</t>
  </si>
  <si>
    <t xml:space="preserve">   Other Operating Expenses Margin %</t>
  </si>
  <si>
    <t>Interest Expense (Income), Net Margin %</t>
  </si>
  <si>
    <t>PP&amp;E</t>
  </si>
  <si>
    <t>Beginning PP&amp;E</t>
  </si>
  <si>
    <t>+ Capital Expenditures</t>
  </si>
  <si>
    <t>- Depreciation &amp; Amortization</t>
  </si>
  <si>
    <t>= Ending PP&amp;E</t>
  </si>
  <si>
    <t>Difference</t>
  </si>
  <si>
    <t>Capital Expenditures Margin %</t>
  </si>
  <si>
    <t>Depreciation &amp; Amortization as a % of Beginning PP&amp;E</t>
  </si>
  <si>
    <t xml:space="preserve">Taxes </t>
  </si>
  <si>
    <t>Effective Tax Rate</t>
  </si>
  <si>
    <t>Working Capital</t>
  </si>
  <si>
    <t>Short-Term Investments Margin %</t>
  </si>
  <si>
    <t>Accounts Recievable Turnover Rate</t>
  </si>
  <si>
    <t>Inventories Turnover Rate</t>
  </si>
  <si>
    <t>Prepaid Expenses and Other Current Assets Margin %</t>
  </si>
  <si>
    <t>Notes Payable Margin %</t>
  </si>
  <si>
    <t>Accounts Payable Turnover Rate</t>
  </si>
  <si>
    <t>Current Portion of Operating Lease Liabilities Margin %</t>
  </si>
  <si>
    <t>Accrued Liabilities Margin %</t>
  </si>
  <si>
    <t>Income Taxes Payable Margin %</t>
  </si>
  <si>
    <t>Operating Lease Right-of-Use Assets, Net Margin %</t>
  </si>
  <si>
    <t>Identifiable Intangible Assets, Net Margin%</t>
  </si>
  <si>
    <t>Deferred Income Taxes and Other Assets Margin%</t>
  </si>
  <si>
    <t>Long-Term Debt Margin %</t>
  </si>
  <si>
    <t>Operating Lease Liabilities Margin %</t>
  </si>
  <si>
    <t>Deferred Income Taxes and Other Liabilities Margin %</t>
  </si>
  <si>
    <t>Other Non-Current Liabilities Margin %</t>
  </si>
  <si>
    <t>Shareholders Equity</t>
  </si>
  <si>
    <t>Class B Convertible Margin %</t>
  </si>
  <si>
    <t>Capital in Excess of Stated Value Margin %</t>
  </si>
  <si>
    <t>Accumulated Other Comprehensive Income (Loss) Margin %</t>
  </si>
  <si>
    <t>Retained Earnings</t>
  </si>
  <si>
    <t>Opening Retained Earnings</t>
  </si>
  <si>
    <t>Plus: Net Income</t>
  </si>
  <si>
    <t>Less: Dividends Paid</t>
  </si>
  <si>
    <t>Less: Repurchase of Common Stock</t>
  </si>
  <si>
    <t>Equals: Closing Retained Earnings</t>
  </si>
  <si>
    <t>Dividend Payout Ratio</t>
  </si>
  <si>
    <t>Repurchase of Common Stock Margin %</t>
  </si>
  <si>
    <t>Cash Flow From Operating Activities</t>
  </si>
  <si>
    <t>Deferred Income Taxes Paid as a % of Total</t>
  </si>
  <si>
    <t>Stock-Based Compensation Margin %</t>
  </si>
  <si>
    <t>Net Foreign Currency Adjustments Margin %</t>
  </si>
  <si>
    <t>Cash Flow From Financing Activities</t>
  </si>
  <si>
    <t>Proceeds From Exercise of Stock Options and Other Stock Issuances Margin %</t>
  </si>
  <si>
    <t>DCF Valuation</t>
  </si>
  <si>
    <t>Input Assumptions</t>
  </si>
  <si>
    <t>Capital Structure</t>
  </si>
  <si>
    <t>Equity</t>
  </si>
  <si>
    <t>% Equity</t>
  </si>
  <si>
    <t>Debt</t>
  </si>
  <si>
    <t>% Debt</t>
  </si>
  <si>
    <t>Total Capitalization</t>
  </si>
  <si>
    <t>Weighted Average Cost of Capital (WACC)</t>
  </si>
  <si>
    <t>Expected Market Return</t>
  </si>
  <si>
    <t>Risk Free Rate</t>
  </si>
  <si>
    <t>Market Risk Premium</t>
  </si>
  <si>
    <t>Beta</t>
  </si>
  <si>
    <t>Cost of Equity</t>
  </si>
  <si>
    <t>Pre-Tax Cost of Debt</t>
  </si>
  <si>
    <t>After Tax Cost Of Debt</t>
  </si>
  <si>
    <t>WACC</t>
  </si>
  <si>
    <t>Unlevered Free Cash Flow Calculation</t>
  </si>
  <si>
    <t>Times: (1 - Tax Rate)</t>
  </si>
  <si>
    <t xml:space="preserve">Equals: NOPAT </t>
  </si>
  <si>
    <t>Plus: Depreciation &amp; Amortization</t>
  </si>
  <si>
    <t>Less: Change In Working Capital</t>
  </si>
  <si>
    <t>Less: Capital Expenditures</t>
  </si>
  <si>
    <t>Equals: Unlevered Free Cash Flow</t>
  </si>
  <si>
    <t xml:space="preserve">Discount Period </t>
  </si>
  <si>
    <t>Equals: Present Value of Unlevered Free Cash Flow</t>
  </si>
  <si>
    <t>Discounted Cash Flow Valuation</t>
  </si>
  <si>
    <t>Perpetuity Growth Method</t>
  </si>
  <si>
    <t>Perpetuity Growth Rate</t>
  </si>
  <si>
    <t>Present Value of Terminal Value</t>
  </si>
  <si>
    <t>Terminal Value as % of Enterprise Value</t>
  </si>
  <si>
    <t>Plus: Present Value of Forecast FCF</t>
  </si>
  <si>
    <t>Forecast Period as % of Enterprise Value</t>
  </si>
  <si>
    <t>Equals: Enterprise Value</t>
  </si>
  <si>
    <t>Less: Debt</t>
  </si>
  <si>
    <t>Plus: Cash (as at Valuation Date)</t>
  </si>
  <si>
    <t>Less: Non-controlling Interest</t>
  </si>
  <si>
    <t>Equals: Equity Value</t>
  </si>
  <si>
    <t>Divided By: Fully Diluted Shares Outstanding</t>
  </si>
  <si>
    <t>Equals: Implied Share Price</t>
  </si>
  <si>
    <t>Current Share Price</t>
  </si>
  <si>
    <t>Implied Upside</t>
  </si>
  <si>
    <t>Comparable Companies Analysis</t>
  </si>
  <si>
    <t>Current Share Price (USD)</t>
  </si>
  <si>
    <t>Diluted Shares Outstanding (m)</t>
  </si>
  <si>
    <t>Equity Value</t>
  </si>
  <si>
    <t>Net Debt</t>
  </si>
  <si>
    <t>Enterprise Value</t>
  </si>
  <si>
    <t>Comparable Companies: Peer Universe</t>
  </si>
  <si>
    <t>(All figures in USDm unless otherwise specified)</t>
  </si>
  <si>
    <t>EV/EBITDA</t>
  </si>
  <si>
    <t>P/E</t>
  </si>
  <si>
    <t>Company Name</t>
  </si>
  <si>
    <t>Year End</t>
  </si>
  <si>
    <t>Price (USD)</t>
  </si>
  <si>
    <t>Market Cap</t>
  </si>
  <si>
    <t>2024A</t>
  </si>
  <si>
    <t>LTM 2025</t>
  </si>
  <si>
    <t>NTM 2026</t>
  </si>
  <si>
    <t>Adidas</t>
  </si>
  <si>
    <t>ETR: ADS</t>
  </si>
  <si>
    <t>On</t>
  </si>
  <si>
    <t>NYSE: ONON</t>
  </si>
  <si>
    <t>Deckers Outdoor Corporation</t>
  </si>
  <si>
    <t>NYSE: DECK</t>
  </si>
  <si>
    <t>Asics</t>
  </si>
  <si>
    <t>TSE: 7936</t>
  </si>
  <si>
    <t>Under Armour</t>
  </si>
  <si>
    <t>NYSE: UAA</t>
  </si>
  <si>
    <t>Puma</t>
  </si>
  <si>
    <t>ETR: PUM</t>
  </si>
  <si>
    <t>Minimum</t>
  </si>
  <si>
    <t>Median</t>
  </si>
  <si>
    <t>Mean</t>
  </si>
  <si>
    <t>Maximum</t>
  </si>
  <si>
    <t>Comparable Companies Valuation</t>
  </si>
  <si>
    <t>Implied Equity Value</t>
  </si>
  <si>
    <t>Implied Share Price (USD)</t>
  </si>
  <si>
    <t>Implied Return (%)</t>
  </si>
  <si>
    <t>Metric</t>
  </si>
  <si>
    <t>Lower Limit</t>
  </si>
  <si>
    <t xml:space="preserve">Median </t>
  </si>
  <si>
    <t>Upper Limit</t>
  </si>
  <si>
    <t>EV/EBITDA 2024A</t>
  </si>
  <si>
    <t>EV/EBITDA 2025E</t>
  </si>
  <si>
    <t>EV/EBITDA 2026E</t>
  </si>
  <si>
    <t>P/E 2024A</t>
  </si>
  <si>
    <t>P/E 2025E</t>
  </si>
  <si>
    <t>P/E 2026E</t>
  </si>
  <si>
    <t>Precedent Transaction Analysis</t>
  </si>
  <si>
    <t>Financial Data</t>
  </si>
  <si>
    <t>LTM Revenue</t>
  </si>
  <si>
    <t>LTM EBITDA</t>
  </si>
  <si>
    <t>LTM Net Income</t>
  </si>
  <si>
    <t>LTM EPS</t>
  </si>
  <si>
    <t>Precedents Transactions</t>
  </si>
  <si>
    <t>LTM Multiples</t>
  </si>
  <si>
    <t>Acquirer</t>
  </si>
  <si>
    <t>Target</t>
  </si>
  <si>
    <t>Announcement Date</t>
  </si>
  <si>
    <t>Transaction Value</t>
  </si>
  <si>
    <t>TV / Revenue</t>
  </si>
  <si>
    <t>TV / EBITDA</t>
  </si>
  <si>
    <t>Offer Price / EPS</t>
  </si>
  <si>
    <t>Rationale</t>
  </si>
  <si>
    <t>NA: non public</t>
  </si>
  <si>
    <t>Anta Sports</t>
  </si>
  <si>
    <t>Amer Sports</t>
  </si>
  <si>
    <t>Valuation</t>
  </si>
  <si>
    <t>Less: Net Debt</t>
  </si>
  <si>
    <t>Equals: Implied Value</t>
  </si>
  <si>
    <t>Thesis II Support</t>
  </si>
  <si>
    <t>Footwear as a % of Revenue</t>
  </si>
  <si>
    <t>Gross Margin</t>
  </si>
  <si>
    <t>Net Margin</t>
  </si>
  <si>
    <t>Supporting Charts</t>
  </si>
  <si>
    <t>Valuation Method</t>
  </si>
  <si>
    <t>Weight</t>
  </si>
  <si>
    <t>Implied Value</t>
  </si>
  <si>
    <t>DCF: Perpetuity Growth</t>
  </si>
  <si>
    <t>Comps: P/E</t>
  </si>
  <si>
    <t>Comps: EV/EBITDA</t>
  </si>
  <si>
    <t>Analyst Targets</t>
  </si>
  <si>
    <t>Blended Valuation</t>
  </si>
  <si>
    <t>Low</t>
  </si>
  <si>
    <t>High</t>
  </si>
  <si>
    <t>Bank</t>
  </si>
  <si>
    <t>Price Target</t>
  </si>
  <si>
    <t>Growth Rate</t>
  </si>
  <si>
    <t>Sensitivity Table</t>
  </si>
  <si>
    <t>N/A</t>
  </si>
  <si>
    <t>25th Percentile</t>
  </si>
  <si>
    <t>75th Percentile</t>
  </si>
  <si>
    <t>JPM</t>
  </si>
  <si>
    <t>TD</t>
  </si>
  <si>
    <t>RBC</t>
  </si>
  <si>
    <t>GS</t>
  </si>
  <si>
    <t>Evercore</t>
  </si>
  <si>
    <t>Our Target</t>
  </si>
  <si>
    <t>Average</t>
  </si>
  <si>
    <t>3G Capital</t>
  </si>
  <si>
    <t>Skechers</t>
  </si>
  <si>
    <t>Closest "pure footwear" precedent to Nike (global brand, scale, wholesale + DTC mxi)</t>
  </si>
  <si>
    <t>Dick's Sporting Goods</t>
  </si>
  <si>
    <t>Foot Locker</t>
  </si>
  <si>
    <t>This is a big channel control/ sneaker retail precedent</t>
  </si>
  <si>
    <t>Shows what buyers pay for a portfolio of sports/ outdoor brands + Asia growth optionality</t>
  </si>
  <si>
    <t>Crocs</t>
  </si>
  <si>
    <t>HEYDUDE</t>
  </si>
  <si>
    <t>Footwear brand add on, useful for thinking about what market pays for brand expansion</t>
  </si>
  <si>
    <t>JD Sports</t>
  </si>
  <si>
    <t>Finish Line</t>
  </si>
  <si>
    <t>Another sneaker-retail consolidation precedent</t>
  </si>
  <si>
    <t>PTA: TV/Revenue</t>
  </si>
  <si>
    <t>PTA: Offer Price/EPS</t>
  </si>
  <si>
    <t>Implied Share Price</t>
  </si>
  <si>
    <t>Edited to closer reflect consensus EBIT expectations</t>
  </si>
  <si>
    <t>Team Apex</t>
  </si>
  <si>
    <t>d</t>
  </si>
  <si>
    <t>Analyst Consensus</t>
  </si>
  <si>
    <t>Valuation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</si>
</sst>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$&quot;0.00;\(&quot;$&quot;0.00\);\-"/>
    <numFmt numFmtId="166" formatCode="#,##0;\ \(#,##0\);\-"/>
    <numFmt numFmtId="167" formatCode="0.00%;\(0.00%\);\-"/>
    <numFmt numFmtId="168" formatCode="0.00;\(0.00\);0"/>
    <numFmt numFmtId="169" formatCode="0.00\x;\(0.00\x\);\-"/>
    <numFmt numFmtId="170" formatCode="0&quot;A&quot;"/>
    <numFmt numFmtId="171" formatCode="0&quot;E&quot;"/>
    <numFmt numFmtId="172" formatCode="#,##0;\(#,##0\);\-"/>
    <numFmt numFmtId="173" formatCode="0.0%;\(0.0%\);\-\%"/>
    <numFmt numFmtId="174" formatCode="0.00%;\(0.00%\);\-\%"/>
    <numFmt numFmtId="175" formatCode="[$-409]d\-mmm\-yy;@"/>
    <numFmt numFmtId="176" formatCode="#,##0.0;\(#,##0.0\);\-"/>
    <numFmt numFmtId="177" formatCode="&quot;Check&quot;;&quot;Check&quot;;&quot;OK&quot;"/>
    <numFmt numFmtId="178" formatCode="_-* #,##0_-;\-* #,##0_-;_-* &quot;-&quot;??_-;_-@_-"/>
    <numFmt numFmtId="179" formatCode="0.0%"/>
    <numFmt numFmtId="180" formatCode="#,##0;[Red]\(#,##0\)"/>
    <numFmt numFmtId="181" formatCode="#,##0;[Red]\(#,##0\);\-"/>
    <numFmt numFmtId="182" formatCode="0.0%;[Red]\(0.0%\);\-"/>
    <numFmt numFmtId="183" formatCode="0.0%;\(0.0%\);\-"/>
    <numFmt numFmtId="184" formatCode="0.00;\(0.00\);\-"/>
    <numFmt numFmtId="185" formatCode="&quot;$&quot;#,##0;\-&quot;$&quot;#,##0;\-"/>
    <numFmt numFmtId="186" formatCode="[$-1009]mmmm\ d\,\ yyyy;@"/>
    <numFmt numFmtId="187" formatCode="0.00\x;\(0.00\)\x;&quot;N/A&quot;"/>
    <numFmt numFmtId="188" formatCode="#.00&quot;x&quot;"/>
    <numFmt numFmtId="189" formatCode="@_)"/>
    <numFmt numFmtId="190" formatCode="0.0&quot;x&quot;"/>
    <numFmt numFmtId="191" formatCode="&quot;$&quot;#,##0.00"/>
    <numFmt numFmtId="192" formatCode="[$$-1009]#,##0.00;\-[$$-1009]#,##0.00"/>
    <numFmt numFmtId="193" formatCode="_-[$$-1009]* #,##0.00_-;\-[$$-1009]* #,##0.00_-;_-[$$-1009]* &quot;-&quot;??_-;_-@_-"/>
    <numFmt numFmtId="194" formatCode="0.00\x"/>
    <numFmt numFmtId="195" formatCode="0\x;\(0\);&quot;N/A&quot;"/>
  </numFmts>
  <fonts count="5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FF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9B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4"/>
      <color rgb="FF050A3F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sz val="10"/>
      <name val="Frutiger 45 Light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i/>
      <sz val="10"/>
      <color theme="1"/>
      <name val="Arial"/>
      <family val="2"/>
    </font>
    <font>
      <sz val="8"/>
      <name val="Times New Roman"/>
      <family val="1"/>
    </font>
    <font>
      <b/>
      <sz val="10"/>
      <color rgb="FF050A3F"/>
      <name val="Arial"/>
      <family val="2"/>
    </font>
    <font>
      <sz val="10"/>
      <name val="Times New Roman"/>
      <family val="1"/>
    </font>
    <font>
      <b/>
      <sz val="12"/>
      <color rgb="FFEFBF04"/>
      <name val="Arial"/>
      <family val="2"/>
    </font>
    <font>
      <sz val="12"/>
      <color rgb="FFEFBF04"/>
      <name val="Arial"/>
      <family val="2"/>
    </font>
    <font>
      <sz val="10"/>
      <color rgb="FF050A3F"/>
      <name val="Arial"/>
      <family val="2"/>
    </font>
    <font>
      <b/>
      <u val="singleAccounting"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b/>
      <sz val="10"/>
      <color rgb="FF000000"/>
      <name val="Arial"/>
      <family val="2"/>
    </font>
    <font>
      <sz val="11"/>
      <color theme="0"/>
      <name val="Cambria"/>
      <family val="1"/>
    </font>
    <font>
      <sz val="11"/>
      <color theme="1"/>
      <name val="Cambria"/>
      <family val="1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50A3F"/>
        <bgColor indexed="64"/>
      </patternFill>
    </fill>
    <fill>
      <patternFill patternType="solid">
        <fgColor rgb="FFA4C2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A4C298"/>
        <bgColor rgb="FF000000"/>
      </patternFill>
    </fill>
    <fill>
      <patternFill patternType="solid">
        <fgColor rgb="FF002060"/>
        <bgColor rgb="FF2A3E68"/>
      </patternFill>
    </fill>
    <fill>
      <patternFill patternType="solid">
        <fgColor rgb="FF002060"/>
        <bgColor indexed="64"/>
      </patternFill>
    </fill>
    <fill>
      <patternFill patternType="solid">
        <fgColor rgb="FF2A3E68"/>
        <bgColor rgb="FF2A3E68"/>
      </patternFill>
    </fill>
    <fill>
      <patternFill patternType="solid">
        <fgColor rgb="FFD9E2F3"/>
        <bgColor rgb="FFD9E2F3"/>
      </patternFill>
    </fill>
    <fill>
      <patternFill patternType="solid">
        <fgColor rgb="FFA4C298"/>
        <bgColor rgb="FF2A3E68"/>
      </patternFill>
    </fill>
    <fill>
      <patternFill patternType="solid">
        <fgColor theme="0" tint="-0.14999847407452621"/>
        <bgColor rgb="FFD9E2F3"/>
      </patternFill>
    </fill>
    <fill>
      <patternFill patternType="solid">
        <fgColor rgb="FFEFBF04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28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1" tint="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24994659260841701"/>
      </bottom>
      <diagonal/>
    </border>
    <border>
      <left/>
      <right/>
      <top style="thin">
        <color indexed="64"/>
      </top>
      <bottom style="thin">
        <color theme="1" tint="0.2499465926084170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medium">
        <color auto="1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indexed="64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75717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757171"/>
      </top>
      <bottom style="thin">
        <color rgb="FF757171"/>
      </bottom>
      <diagonal/>
    </border>
    <border>
      <left/>
      <right/>
      <top/>
      <bottom style="thin">
        <color rgb="FF757171"/>
      </bottom>
      <diagonal/>
    </border>
  </borders>
  <cellStyleXfs count="20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" fillId="0" borderId="0"/>
    <xf numFmtId="0" fontId="23" fillId="0" borderId="11" applyNumberFormat="0" applyFont="0" applyFill="0" applyAlignment="0" applyProtection="0">
      <alignment horizontal="centerContinuous"/>
    </xf>
    <xf numFmtId="0" fontId="26" fillId="0" borderId="0"/>
    <xf numFmtId="0" fontId="23" fillId="0" borderId="0" applyFill="0" applyBorder="0" applyProtection="0"/>
    <xf numFmtId="0" fontId="23" fillId="0" borderId="11" applyNumberFormat="0" applyFont="0" applyFill="0" applyAlignment="0" applyProtection="0">
      <alignment horizontal="centerContinuous"/>
    </xf>
    <xf numFmtId="0" fontId="19" fillId="0" borderId="0">
      <alignment vertical="top"/>
    </xf>
    <xf numFmtId="0" fontId="19" fillId="0" borderId="0"/>
    <xf numFmtId="178" fontId="29" fillId="0" borderId="0" applyNumberFormat="0" applyFont="0" applyBorder="0" applyAlignment="0" applyProtection="0"/>
    <xf numFmtId="9" fontId="1" fillId="0" borderId="0" applyFont="0" applyFill="0" applyBorder="0" applyAlignment="0" applyProtection="0"/>
    <xf numFmtId="180" fontId="31" fillId="0" borderId="0"/>
    <xf numFmtId="0" fontId="19" fillId="0" borderId="0"/>
    <xf numFmtId="0" fontId="33" fillId="0" borderId="0"/>
    <xf numFmtId="0" fontId="1" fillId="0" borderId="0"/>
    <xf numFmtId="186" fontId="19" fillId="0" borderId="0"/>
    <xf numFmtId="164" fontId="19" fillId="0" borderId="0" applyFont="0" applyFill="0" applyBorder="0" applyAlignment="0" applyProtection="0"/>
    <xf numFmtId="4" fontId="28" fillId="7" borderId="30"/>
  </cellStyleXfs>
  <cellXfs count="516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5" fillId="3" borderId="1" xfId="0" applyFont="1" applyFill="1" applyBorder="1" applyAlignment="1">
      <alignment horizontal="centerContinuous"/>
    </xf>
    <xf numFmtId="0" fontId="6" fillId="3" borderId="2" xfId="0" applyFont="1" applyFill="1" applyBorder="1" applyAlignment="1">
      <alignment horizontal="centerContinuous"/>
    </xf>
    <xf numFmtId="0" fontId="6" fillId="3" borderId="3" xfId="0" applyFont="1" applyFill="1" applyBorder="1" applyAlignment="1">
      <alignment horizontal="centerContinuous"/>
    </xf>
    <xf numFmtId="0" fontId="3" fillId="0" borderId="4" xfId="0" applyFont="1" applyBorder="1"/>
    <xf numFmtId="0" fontId="3" fillId="0" borderId="5" xfId="0" applyFont="1" applyBorder="1"/>
    <xf numFmtId="0" fontId="7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5" xfId="0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9" fillId="0" borderId="0" xfId="0" applyFont="1"/>
    <xf numFmtId="0" fontId="10" fillId="0" borderId="0" xfId="0" applyFont="1"/>
    <xf numFmtId="0" fontId="11" fillId="3" borderId="0" xfId="0" applyFont="1" applyFill="1"/>
    <xf numFmtId="0" fontId="12" fillId="3" borderId="0" xfId="0" applyFont="1" applyFill="1"/>
    <xf numFmtId="0" fontId="13" fillId="0" borderId="0" xfId="0" applyFont="1"/>
    <xf numFmtId="0" fontId="10" fillId="0" borderId="0" xfId="0" applyFont="1" applyAlignment="1">
      <alignment horizontal="center"/>
    </xf>
    <xf numFmtId="0" fontId="12" fillId="3" borderId="0" xfId="0" applyFont="1" applyFill="1" applyAlignment="1">
      <alignment horizontal="centerContinuous"/>
    </xf>
    <xf numFmtId="0" fontId="14" fillId="3" borderId="0" xfId="0" applyFont="1" applyFill="1" applyAlignment="1">
      <alignment horizontal="centerContinuous"/>
    </xf>
    <xf numFmtId="0" fontId="15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16" fillId="0" borderId="9" xfId="0" applyFont="1" applyBorder="1"/>
    <xf numFmtId="0" fontId="10" fillId="0" borderId="9" xfId="0" applyFont="1" applyBorder="1"/>
    <xf numFmtId="0" fontId="17" fillId="0" borderId="9" xfId="0" applyFont="1" applyBorder="1"/>
    <xf numFmtId="0" fontId="18" fillId="0" borderId="9" xfId="0" applyFont="1" applyBorder="1"/>
    <xf numFmtId="0" fontId="10" fillId="2" borderId="10" xfId="0" applyFont="1" applyFill="1" applyBorder="1"/>
    <xf numFmtId="0" fontId="10" fillId="0" borderId="10" xfId="0" applyFont="1" applyBorder="1"/>
    <xf numFmtId="0" fontId="12" fillId="3" borderId="0" xfId="4" applyFont="1" applyFill="1"/>
    <xf numFmtId="0" fontId="9" fillId="3" borderId="0" xfId="0" applyFont="1" applyFill="1"/>
    <xf numFmtId="0" fontId="13" fillId="3" borderId="0" xfId="0" applyFont="1" applyFill="1"/>
    <xf numFmtId="0" fontId="20" fillId="3" borderId="0" xfId="0" applyFont="1" applyFill="1" applyAlignment="1">
      <alignment horizontal="left"/>
    </xf>
    <xf numFmtId="170" fontId="12" fillId="3" borderId="0" xfId="4" applyNumberFormat="1" applyFont="1" applyFill="1"/>
    <xf numFmtId="171" fontId="12" fillId="3" borderId="0" xfId="4" applyNumberFormat="1" applyFont="1" applyFill="1"/>
    <xf numFmtId="0" fontId="13" fillId="0" borderId="0" xfId="0" applyFont="1" applyAlignment="1">
      <alignment wrapText="1"/>
    </xf>
    <xf numFmtId="0" fontId="19" fillId="3" borderId="0" xfId="4" applyFill="1"/>
    <xf numFmtId="0" fontId="12" fillId="0" borderId="0" xfId="4" applyFont="1"/>
    <xf numFmtId="0" fontId="19" fillId="0" borderId="0" xfId="4"/>
    <xf numFmtId="166" fontId="16" fillId="0" borderId="0" xfId="4" applyNumberFormat="1" applyFont="1" applyAlignment="1">
      <alignment horizontal="right"/>
    </xf>
    <xf numFmtId="166" fontId="10" fillId="2" borderId="0" xfId="4" applyNumberFormat="1" applyFont="1" applyFill="1" applyAlignment="1">
      <alignment horizontal="right"/>
    </xf>
    <xf numFmtId="0" fontId="13" fillId="0" borderId="0" xfId="0" applyFont="1" applyAlignment="1">
      <alignment horizontal="right"/>
    </xf>
    <xf numFmtId="0" fontId="21" fillId="0" borderId="0" xfId="4" applyFont="1" applyAlignment="1">
      <alignment horizontal="left" indent="1"/>
    </xf>
    <xf numFmtId="167" fontId="21" fillId="0" borderId="0" xfId="4" applyNumberFormat="1" applyFont="1" applyAlignment="1">
      <alignment horizontal="right"/>
    </xf>
    <xf numFmtId="167" fontId="21" fillId="2" borderId="0" xfId="4" applyNumberFormat="1" applyFont="1" applyFill="1" applyAlignment="1">
      <alignment horizontal="right"/>
    </xf>
    <xf numFmtId="0" fontId="22" fillId="0" borderId="10" xfId="4" applyFont="1" applyBorder="1"/>
    <xf numFmtId="172" fontId="22" fillId="0" borderId="10" xfId="4" applyNumberFormat="1" applyFont="1" applyBorder="1" applyAlignment="1">
      <alignment horizontal="right"/>
    </xf>
    <xf numFmtId="172" fontId="22" fillId="2" borderId="10" xfId="4" applyNumberFormat="1" applyFont="1" applyFill="1" applyBorder="1" applyAlignment="1">
      <alignment horizontal="right"/>
    </xf>
    <xf numFmtId="173" fontId="21" fillId="0" borderId="0" xfId="4" applyNumberFormat="1" applyFont="1" applyAlignment="1">
      <alignment horizontal="right"/>
    </xf>
    <xf numFmtId="173" fontId="21" fillId="2" borderId="0" xfId="4" applyNumberFormat="1" applyFont="1" applyFill="1" applyAlignment="1">
      <alignment horizontal="right"/>
    </xf>
    <xf numFmtId="0" fontId="22" fillId="0" borderId="0" xfId="4" applyFont="1"/>
    <xf numFmtId="172" fontId="19" fillId="0" borderId="0" xfId="4" applyNumberFormat="1" applyAlignment="1">
      <alignment horizontal="right"/>
    </xf>
    <xf numFmtId="9" fontId="19" fillId="0" borderId="0" xfId="3" applyFont="1" applyFill="1" applyBorder="1" applyAlignment="1">
      <alignment horizontal="right"/>
    </xf>
    <xf numFmtId="0" fontId="19" fillId="0" borderId="0" xfId="4" applyAlignment="1">
      <alignment horizontal="left" indent="1"/>
    </xf>
    <xf numFmtId="172" fontId="22" fillId="0" borderId="0" xfId="4" applyNumberFormat="1" applyFont="1" applyAlignment="1">
      <alignment horizontal="right"/>
    </xf>
    <xf numFmtId="174" fontId="22" fillId="0" borderId="0" xfId="4" applyNumberFormat="1" applyFont="1" applyAlignment="1">
      <alignment horizontal="left"/>
    </xf>
    <xf numFmtId="172" fontId="22" fillId="2" borderId="0" xfId="4" applyNumberFormat="1" applyFont="1" applyFill="1" applyAlignment="1">
      <alignment horizontal="right"/>
    </xf>
    <xf numFmtId="9" fontId="22" fillId="0" borderId="0" xfId="3" applyFont="1" applyAlignment="1">
      <alignment horizontal="right"/>
    </xf>
    <xf numFmtId="172" fontId="13" fillId="0" borderId="0" xfId="0" applyNumberFormat="1" applyFont="1" applyAlignment="1">
      <alignment horizontal="right"/>
    </xf>
    <xf numFmtId="174" fontId="19" fillId="0" borderId="0" xfId="4" applyNumberFormat="1" applyAlignment="1">
      <alignment horizontal="left"/>
    </xf>
    <xf numFmtId="166" fontId="10" fillId="0" borderId="0" xfId="4" applyNumberFormat="1" applyFont="1" applyAlignment="1">
      <alignment horizontal="right"/>
    </xf>
    <xf numFmtId="172" fontId="16" fillId="0" borderId="0" xfId="5" applyNumberFormat="1" applyFont="1" applyFill="1" applyBorder="1" applyAlignment="1">
      <alignment horizontal="right"/>
    </xf>
    <xf numFmtId="174" fontId="21" fillId="0" borderId="0" xfId="4" applyNumberFormat="1" applyFont="1" applyAlignment="1">
      <alignment horizontal="left" indent="1"/>
    </xf>
    <xf numFmtId="172" fontId="22" fillId="0" borderId="0" xfId="4" applyNumberFormat="1" applyFont="1"/>
    <xf numFmtId="0" fontId="24" fillId="0" borderId="0" xfId="4" applyFont="1"/>
    <xf numFmtId="15" fontId="25" fillId="0" borderId="0" xfId="4" applyNumberFormat="1" applyFont="1"/>
    <xf numFmtId="175" fontId="22" fillId="0" borderId="0" xfId="4" applyNumberFormat="1" applyFont="1" applyAlignment="1">
      <alignment horizontal="centerContinuous"/>
    </xf>
    <xf numFmtId="4" fontId="16" fillId="0" borderId="0" xfId="6" applyNumberFormat="1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22" fillId="0" borderId="0" xfId="7" applyFont="1" applyFill="1"/>
    <xf numFmtId="0" fontId="19" fillId="0" borderId="0" xfId="6" applyFont="1"/>
    <xf numFmtId="172" fontId="19" fillId="0" borderId="0" xfId="6" applyNumberFormat="1" applyFont="1"/>
    <xf numFmtId="0" fontId="27" fillId="0" borderId="0" xfId="7" applyFont="1" applyFill="1"/>
    <xf numFmtId="172" fontId="19" fillId="5" borderId="0" xfId="4" applyNumberFormat="1" applyFill="1"/>
    <xf numFmtId="0" fontId="19" fillId="5" borderId="0" xfId="4" applyFill="1"/>
    <xf numFmtId="0" fontId="28" fillId="0" borderId="0" xfId="6" applyFont="1" applyAlignment="1">
      <alignment horizontal="left" indent="1"/>
    </xf>
    <xf numFmtId="0" fontId="19" fillId="0" borderId="10" xfId="6" applyFont="1" applyBorder="1"/>
    <xf numFmtId="172" fontId="29" fillId="0" borderId="0" xfId="5" applyNumberFormat="1" applyFont="1" applyFill="1" applyBorder="1" applyAlignment="1">
      <alignment horizontal="right"/>
    </xf>
    <xf numFmtId="172" fontId="29" fillId="5" borderId="0" xfId="5" applyNumberFormat="1" applyFont="1" applyFill="1" applyBorder="1" applyAlignment="1">
      <alignment horizontal="right"/>
    </xf>
    <xf numFmtId="0" fontId="19" fillId="0" borderId="0" xfId="6" applyFont="1" applyAlignment="1">
      <alignment horizontal="left" indent="1"/>
    </xf>
    <xf numFmtId="0" fontId="22" fillId="0" borderId="10" xfId="6" applyFont="1" applyBorder="1"/>
    <xf numFmtId="172" fontId="22" fillId="0" borderId="10" xfId="5" applyNumberFormat="1" applyFont="1" applyFill="1" applyBorder="1" applyAlignment="1">
      <alignment horizontal="right"/>
    </xf>
    <xf numFmtId="172" fontId="22" fillId="2" borderId="10" xfId="5" applyNumberFormat="1" applyFont="1" applyFill="1" applyBorder="1" applyAlignment="1">
      <alignment horizontal="right"/>
    </xf>
    <xf numFmtId="172" fontId="18" fillId="0" borderId="0" xfId="6" applyNumberFormat="1" applyFont="1"/>
    <xf numFmtId="172" fontId="18" fillId="5" borderId="0" xfId="6" applyNumberFormat="1" applyFont="1" applyFill="1"/>
    <xf numFmtId="172" fontId="19" fillId="5" borderId="0" xfId="6" applyNumberFormat="1" applyFont="1" applyFill="1"/>
    <xf numFmtId="0" fontId="27" fillId="0" borderId="0" xfId="6" applyFont="1"/>
    <xf numFmtId="172" fontId="19" fillId="0" borderId="0" xfId="4" applyNumberFormat="1"/>
    <xf numFmtId="0" fontId="22" fillId="0" borderId="0" xfId="6" applyFont="1"/>
    <xf numFmtId="172" fontId="22" fillId="0" borderId="0" xfId="5" applyNumberFormat="1" applyFont="1" applyFill="1" applyBorder="1" applyAlignment="1">
      <alignment horizontal="right"/>
    </xf>
    <xf numFmtId="172" fontId="22" fillId="0" borderId="0" xfId="6" applyNumberFormat="1" applyFont="1"/>
    <xf numFmtId="172" fontId="22" fillId="2" borderId="0" xfId="6" applyNumberFormat="1" applyFont="1" applyFill="1"/>
    <xf numFmtId="0" fontId="22" fillId="0" borderId="12" xfId="4" applyFont="1" applyBorder="1"/>
    <xf numFmtId="172" fontId="22" fillId="0" borderId="9" xfId="6" applyNumberFormat="1" applyFont="1" applyBorder="1" applyAlignment="1">
      <alignment horizontal="right"/>
    </xf>
    <xf numFmtId="172" fontId="22" fillId="0" borderId="13" xfId="6" applyNumberFormat="1" applyFont="1" applyBorder="1" applyAlignment="1">
      <alignment horizontal="right"/>
    </xf>
    <xf numFmtId="0" fontId="13" fillId="5" borderId="0" xfId="0" applyFont="1" applyFill="1"/>
    <xf numFmtId="172" fontId="10" fillId="0" borderId="0" xfId="5" applyNumberFormat="1" applyFont="1" applyBorder="1" applyAlignment="1">
      <alignment horizontal="right"/>
    </xf>
    <xf numFmtId="172" fontId="10" fillId="0" borderId="0" xfId="5" applyNumberFormat="1" applyFont="1" applyFill="1" applyBorder="1" applyAlignment="1">
      <alignment horizontal="right"/>
    </xf>
    <xf numFmtId="172" fontId="10" fillId="0" borderId="0" xfId="8" applyNumberFormat="1" applyFont="1" applyFill="1" applyBorder="1" applyAlignment="1">
      <alignment horizontal="right"/>
    </xf>
    <xf numFmtId="172" fontId="10" fillId="2" borderId="0" xfId="5" applyNumberFormat="1" applyFont="1" applyFill="1" applyBorder="1" applyAlignment="1">
      <alignment horizontal="right"/>
    </xf>
    <xf numFmtId="172" fontId="10" fillId="2" borderId="0" xfId="8" applyNumberFormat="1" applyFont="1" applyFill="1" applyBorder="1" applyAlignment="1">
      <alignment horizontal="right"/>
    </xf>
    <xf numFmtId="172" fontId="16" fillId="0" borderId="0" xfId="8" applyNumberFormat="1" applyFont="1" applyFill="1" applyBorder="1" applyAlignment="1">
      <alignment horizontal="right"/>
    </xf>
    <xf numFmtId="172" fontId="16" fillId="2" borderId="0" xfId="8" applyNumberFormat="1" applyFont="1" applyFill="1" applyBorder="1" applyAlignment="1">
      <alignment horizontal="right"/>
    </xf>
    <xf numFmtId="172" fontId="19" fillId="2" borderId="0" xfId="8" applyNumberFormat="1" applyFont="1" applyFill="1" applyBorder="1" applyAlignment="1">
      <alignment horizontal="right"/>
    </xf>
    <xf numFmtId="0" fontId="19" fillId="0" borderId="14" xfId="6" applyFont="1" applyBorder="1"/>
    <xf numFmtId="172" fontId="16" fillId="0" borderId="14" xfId="8" applyNumberFormat="1" applyFont="1" applyFill="1" applyBorder="1" applyAlignment="1">
      <alignment horizontal="right"/>
    </xf>
    <xf numFmtId="172" fontId="19" fillId="2" borderId="14" xfId="8" applyNumberFormat="1" applyFont="1" applyFill="1" applyBorder="1" applyAlignment="1">
      <alignment horizontal="right"/>
    </xf>
    <xf numFmtId="172" fontId="19" fillId="0" borderId="0" xfId="8" applyNumberFormat="1" applyFont="1" applyFill="1" applyBorder="1" applyAlignment="1">
      <alignment horizontal="right"/>
    </xf>
    <xf numFmtId="0" fontId="22" fillId="0" borderId="0" xfId="6" applyFont="1" applyAlignment="1">
      <alignment horizontal="left" indent="1"/>
    </xf>
    <xf numFmtId="0" fontId="19" fillId="0" borderId="0" xfId="6" applyFont="1" applyAlignment="1">
      <alignment horizontal="left"/>
    </xf>
    <xf numFmtId="176" fontId="19" fillId="2" borderId="0" xfId="6" applyNumberFormat="1" applyFont="1" applyFill="1"/>
    <xf numFmtId="0" fontId="19" fillId="5" borderId="0" xfId="6" applyFont="1" applyFill="1"/>
    <xf numFmtId="172" fontId="19" fillId="2" borderId="0" xfId="6" applyNumberFormat="1" applyFont="1" applyFill="1"/>
    <xf numFmtId="0" fontId="28" fillId="0" borderId="0" xfId="6" applyFont="1" applyAlignment="1">
      <alignment horizontal="left"/>
    </xf>
    <xf numFmtId="0" fontId="15" fillId="0" borderId="0" xfId="4" applyFont="1"/>
    <xf numFmtId="0" fontId="10" fillId="0" borderId="0" xfId="4" applyFont="1"/>
    <xf numFmtId="177" fontId="10" fillId="0" borderId="0" xfId="4" applyNumberFormat="1" applyFont="1" applyAlignment="1">
      <alignment horizontal="center"/>
    </xf>
    <xf numFmtId="0" fontId="10" fillId="3" borderId="0" xfId="4" applyFont="1" applyFill="1"/>
    <xf numFmtId="0" fontId="10" fillId="0" borderId="0" xfId="9" applyFont="1">
      <alignment vertical="top"/>
    </xf>
    <xf numFmtId="0" fontId="15" fillId="4" borderId="12" xfId="0" applyFont="1" applyFill="1" applyBorder="1"/>
    <xf numFmtId="0" fontId="10" fillId="4" borderId="13" xfId="0" applyFont="1" applyFill="1" applyBorder="1" applyAlignment="1">
      <alignment horizontal="centerContinuous"/>
    </xf>
    <xf numFmtId="0" fontId="10" fillId="0" borderId="15" xfId="0" applyFont="1" applyBorder="1"/>
    <xf numFmtId="166" fontId="16" fillId="2" borderId="16" xfId="0" applyNumberFormat="1" applyFont="1" applyFill="1" applyBorder="1"/>
    <xf numFmtId="0" fontId="30" fillId="0" borderId="15" xfId="0" applyFont="1" applyBorder="1" applyAlignment="1">
      <alignment horizontal="left" indent="1"/>
    </xf>
    <xf numFmtId="167" fontId="30" fillId="0" borderId="16" xfId="0" applyNumberFormat="1" applyFont="1" applyBorder="1"/>
    <xf numFmtId="0" fontId="30" fillId="0" borderId="0" xfId="0" applyFont="1" applyAlignment="1">
      <alignment horizontal="left" indent="1"/>
    </xf>
    <xf numFmtId="0" fontId="15" fillId="4" borderId="17" xfId="10" applyFont="1" applyFill="1" applyBorder="1"/>
    <xf numFmtId="0" fontId="15" fillId="4" borderId="18" xfId="10" applyFont="1" applyFill="1" applyBorder="1"/>
    <xf numFmtId="0" fontId="10" fillId="5" borderId="15" xfId="9" applyFont="1" applyFill="1" applyBorder="1">
      <alignment vertical="top"/>
    </xf>
    <xf numFmtId="167" fontId="16" fillId="2" borderId="16" xfId="0" applyNumberFormat="1" applyFont="1" applyFill="1" applyBorder="1"/>
    <xf numFmtId="0" fontId="10" fillId="0" borderId="15" xfId="9" applyFont="1" applyBorder="1">
      <alignment vertical="top"/>
    </xf>
    <xf numFmtId="167" fontId="10" fillId="0" borderId="16" xfId="0" applyNumberFormat="1" applyFont="1" applyBorder="1"/>
    <xf numFmtId="0" fontId="15" fillId="0" borderId="15" xfId="9" applyFont="1" applyBorder="1">
      <alignment vertical="top"/>
    </xf>
    <xf numFmtId="167" fontId="15" fillId="0" borderId="16" xfId="12" applyNumberFormat="1" applyFont="1" applyFill="1" applyBorder="1" applyAlignment="1">
      <alignment horizontal="right" vertical="center"/>
    </xf>
    <xf numFmtId="0" fontId="15" fillId="0" borderId="12" xfId="9" applyFont="1" applyBorder="1">
      <alignment vertical="top"/>
    </xf>
    <xf numFmtId="179" fontId="10" fillId="0" borderId="0" xfId="4" applyNumberFormat="1" applyFont="1" applyAlignment="1">
      <alignment horizontal="right"/>
    </xf>
    <xf numFmtId="175" fontId="15" fillId="0" borderId="0" xfId="4" applyNumberFormat="1" applyFont="1" applyAlignment="1">
      <alignment horizontal="centerContinuous"/>
    </xf>
    <xf numFmtId="0" fontId="10" fillId="0" borderId="10" xfId="4" applyFont="1" applyBorder="1"/>
    <xf numFmtId="176" fontId="10" fillId="0" borderId="0" xfId="6" applyNumberFormat="1" applyFont="1"/>
    <xf numFmtId="0" fontId="15" fillId="4" borderId="17" xfId="10" applyFont="1" applyFill="1" applyBorder="1" applyAlignment="1">
      <alignment horizontal="left" vertical="center"/>
    </xf>
    <xf numFmtId="0" fontId="10" fillId="4" borderId="19" xfId="4" applyFont="1" applyFill="1" applyBorder="1" applyAlignment="1">
      <alignment horizontal="centerContinuous" vertical="center"/>
    </xf>
    <xf numFmtId="0" fontId="10" fillId="4" borderId="18" xfId="10" applyFont="1" applyFill="1" applyBorder="1" applyAlignment="1">
      <alignment horizontal="centerContinuous" vertical="center"/>
    </xf>
    <xf numFmtId="180" fontId="10" fillId="6" borderId="15" xfId="13" applyFont="1" applyFill="1" applyBorder="1" applyAlignment="1">
      <alignment horizontal="left"/>
    </xf>
    <xf numFmtId="167" fontId="16" fillId="2" borderId="16" xfId="10" applyNumberFormat="1" applyFont="1" applyFill="1" applyBorder="1" applyAlignment="1" applyProtection="1">
      <alignment horizontal="right"/>
      <protection locked="0"/>
    </xf>
    <xf numFmtId="181" fontId="10" fillId="0" borderId="16" xfId="10" applyNumberFormat="1" applyFont="1" applyBorder="1" applyAlignment="1">
      <alignment horizontal="right"/>
    </xf>
    <xf numFmtId="180" fontId="30" fillId="6" borderId="15" xfId="13" applyFont="1" applyFill="1" applyBorder="1" applyAlignment="1">
      <alignment horizontal="left" indent="1"/>
    </xf>
    <xf numFmtId="182" fontId="30" fillId="0" borderId="16" xfId="12" applyNumberFormat="1" applyFont="1" applyFill="1" applyBorder="1" applyAlignment="1">
      <alignment horizontal="right"/>
    </xf>
    <xf numFmtId="0" fontId="10" fillId="6" borderId="15" xfId="10" applyFont="1" applyFill="1" applyBorder="1"/>
    <xf numFmtId="172" fontId="10" fillId="0" borderId="16" xfId="4" applyNumberFormat="1" applyFont="1" applyBorder="1"/>
    <xf numFmtId="0" fontId="15" fillId="0" borderId="15" xfId="14" applyFont="1" applyBorder="1"/>
    <xf numFmtId="172" fontId="15" fillId="0" borderId="20" xfId="10" applyNumberFormat="1" applyFont="1" applyBorder="1" applyAlignment="1">
      <alignment horizontal="right"/>
    </xf>
    <xf numFmtId="166" fontId="19" fillId="0" borderId="16" xfId="10" applyNumberFormat="1" applyBorder="1" applyAlignment="1" applyProtection="1">
      <alignment horizontal="right"/>
      <protection locked="0"/>
    </xf>
    <xf numFmtId="0" fontId="10" fillId="0" borderId="14" xfId="4" applyFont="1" applyBorder="1"/>
    <xf numFmtId="166" fontId="18" fillId="0" borderId="16" xfId="10" applyNumberFormat="1" applyFont="1" applyBorder="1" applyAlignment="1" applyProtection="1">
      <alignment horizontal="right"/>
      <protection locked="0"/>
    </xf>
    <xf numFmtId="0" fontId="15" fillId="0" borderId="0" xfId="0" applyFont="1"/>
    <xf numFmtId="180" fontId="10" fillId="6" borderId="21" xfId="13" applyFont="1" applyFill="1" applyBorder="1"/>
    <xf numFmtId="180" fontId="15" fillId="6" borderId="15" xfId="13" applyFont="1" applyFill="1" applyBorder="1"/>
    <xf numFmtId="0" fontId="10" fillId="0" borderId="21" xfId="4" applyFont="1" applyBorder="1"/>
    <xf numFmtId="0" fontId="15" fillId="0" borderId="15" xfId="4" applyFont="1" applyBorder="1"/>
    <xf numFmtId="184" fontId="15" fillId="0" borderId="24" xfId="4" applyNumberFormat="1" applyFont="1" applyBorder="1"/>
    <xf numFmtId="0" fontId="10" fillId="0" borderId="15" xfId="4" applyFont="1" applyBorder="1" applyAlignment="1">
      <alignment horizontal="left"/>
    </xf>
    <xf numFmtId="0" fontId="10" fillId="0" borderId="21" xfId="4" applyFont="1" applyBorder="1" applyAlignment="1">
      <alignment horizontal="left"/>
    </xf>
    <xf numFmtId="176" fontId="10" fillId="0" borderId="14" xfId="6" applyNumberFormat="1" applyFont="1" applyBorder="1"/>
    <xf numFmtId="167" fontId="10" fillId="0" borderId="23" xfId="6" applyNumberFormat="1" applyFont="1" applyBorder="1"/>
    <xf numFmtId="0" fontId="30" fillId="0" borderId="0" xfId="4" applyFont="1" applyAlignment="1">
      <alignment horizontal="left" indent="1"/>
    </xf>
    <xf numFmtId="0" fontId="10" fillId="3" borderId="0" xfId="0" applyFont="1" applyFill="1"/>
    <xf numFmtId="0" fontId="32" fillId="3" borderId="0" xfId="0" applyFont="1" applyFill="1" applyAlignment="1">
      <alignment horizontal="left"/>
    </xf>
    <xf numFmtId="185" fontId="19" fillId="0" borderId="0" xfId="2" applyNumberFormat="1" applyFont="1"/>
    <xf numFmtId="185" fontId="16" fillId="0" borderId="0" xfId="2" applyNumberFormat="1" applyFont="1"/>
    <xf numFmtId="43" fontId="16" fillId="0" borderId="0" xfId="1" applyFont="1"/>
    <xf numFmtId="0" fontId="10" fillId="0" borderId="0" xfId="0" applyFont="1" applyAlignment="1">
      <alignment vertical="center"/>
    </xf>
    <xf numFmtId="2" fontId="12" fillId="3" borderId="25" xfId="0" applyNumberFormat="1" applyFont="1" applyFill="1" applyBorder="1" applyAlignment="1">
      <alignment horizontal="centerContinuous" vertical="center"/>
    </xf>
    <xf numFmtId="2" fontId="12" fillId="3" borderId="0" xfId="0" applyNumberFormat="1" applyFont="1" applyFill="1" applyAlignment="1">
      <alignment horizontal="centerContinuous" vertical="center"/>
    </xf>
    <xf numFmtId="0" fontId="15" fillId="5" borderId="7" xfId="0" applyFont="1" applyFill="1" applyBorder="1" applyAlignment="1">
      <alignment horizontal="center" vertical="center" wrapText="1"/>
    </xf>
    <xf numFmtId="171" fontId="15" fillId="5" borderId="7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4" applyFont="1" applyAlignment="1">
      <alignment horizontal="left"/>
    </xf>
    <xf numFmtId="167" fontId="10" fillId="0" borderId="0" xfId="6" applyNumberFormat="1" applyFont="1"/>
    <xf numFmtId="0" fontId="16" fillId="0" borderId="26" xfId="0" applyFont="1" applyBorder="1" applyAlignment="1">
      <alignment vertical="center"/>
    </xf>
    <xf numFmtId="172" fontId="16" fillId="0" borderId="26" xfId="0" applyNumberFormat="1" applyFont="1" applyBorder="1" applyAlignment="1">
      <alignment horizontal="center" vertical="center"/>
    </xf>
    <xf numFmtId="0" fontId="16" fillId="0" borderId="27" xfId="0" applyFont="1" applyBorder="1" applyAlignment="1">
      <alignment vertical="center"/>
    </xf>
    <xf numFmtId="0" fontId="16" fillId="0" borderId="27" xfId="0" applyFont="1" applyBorder="1" applyAlignment="1">
      <alignment horizontal="center" vertical="center"/>
    </xf>
    <xf numFmtId="184" fontId="16" fillId="0" borderId="27" xfId="0" applyNumberFormat="1" applyFont="1" applyBorder="1" applyAlignment="1">
      <alignment horizontal="center" vertical="center"/>
    </xf>
    <xf numFmtId="172" fontId="16" fillId="0" borderId="27" xfId="0" applyNumberFormat="1" applyFont="1" applyBorder="1" applyAlignment="1">
      <alignment horizontal="center" vertical="center"/>
    </xf>
    <xf numFmtId="0" fontId="16" fillId="0" borderId="28" xfId="0" applyFont="1" applyBorder="1" applyAlignment="1">
      <alignment vertical="center"/>
    </xf>
    <xf numFmtId="0" fontId="16" fillId="0" borderId="28" xfId="0" applyFont="1" applyBorder="1" applyAlignment="1">
      <alignment horizontal="center" vertical="center"/>
    </xf>
    <xf numFmtId="184" fontId="16" fillId="0" borderId="28" xfId="0" applyNumberFormat="1" applyFont="1" applyBorder="1" applyAlignment="1">
      <alignment horizontal="center" vertical="center"/>
    </xf>
    <xf numFmtId="172" fontId="16" fillId="0" borderId="28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0" fontId="30" fillId="0" borderId="0" xfId="0" applyFont="1" applyAlignment="1">
      <alignment vertical="center"/>
    </xf>
    <xf numFmtId="188" fontId="16" fillId="0" borderId="27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19" fillId="0" borderId="29" xfId="15" applyFont="1" applyBorder="1" applyAlignment="1">
      <alignment vertical="center"/>
    </xf>
    <xf numFmtId="0" fontId="14" fillId="0" borderId="10" xfId="15" applyFont="1" applyBorder="1" applyAlignment="1">
      <alignment horizontal="center" vertical="center"/>
    </xf>
    <xf numFmtId="187" fontId="19" fillId="0" borderId="22" xfId="0" applyNumberFormat="1" applyFont="1" applyBorder="1" applyAlignment="1">
      <alignment horizontal="center" vertical="center"/>
    </xf>
    <xf numFmtId="0" fontId="19" fillId="0" borderId="15" xfId="15" applyFont="1" applyBorder="1" applyAlignment="1">
      <alignment vertical="center"/>
    </xf>
    <xf numFmtId="0" fontId="14" fillId="0" borderId="0" xfId="15" applyFont="1" applyAlignment="1">
      <alignment horizontal="center" vertical="center"/>
    </xf>
    <xf numFmtId="187" fontId="19" fillId="0" borderId="16" xfId="0" applyNumberFormat="1" applyFont="1" applyBorder="1" applyAlignment="1">
      <alignment horizontal="center" vertical="center"/>
    </xf>
    <xf numFmtId="0" fontId="19" fillId="0" borderId="21" xfId="15" applyFont="1" applyBorder="1" applyAlignment="1">
      <alignment vertical="center"/>
    </xf>
    <xf numFmtId="187" fontId="19" fillId="0" borderId="23" xfId="0" applyNumberFormat="1" applyFont="1" applyBorder="1" applyAlignment="1">
      <alignment horizontal="center" vertical="center"/>
    </xf>
    <xf numFmtId="187" fontId="19" fillId="0" borderId="10" xfId="0" applyNumberFormat="1" applyFont="1" applyBorder="1" applyAlignment="1">
      <alignment horizontal="center" vertical="center"/>
    </xf>
    <xf numFmtId="187" fontId="1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/>
    </xf>
    <xf numFmtId="187" fontId="19" fillId="0" borderId="14" xfId="0" applyNumberFormat="1" applyFont="1" applyBorder="1" applyAlignment="1">
      <alignment horizontal="center" vertical="center"/>
    </xf>
    <xf numFmtId="189" fontId="37" fillId="0" borderId="0" xfId="0" quotePrefix="1" applyNumberFormat="1" applyFont="1" applyAlignment="1">
      <alignment horizontal="center" vertical="center"/>
    </xf>
    <xf numFmtId="184" fontId="10" fillId="0" borderId="16" xfId="6" applyNumberFormat="1" applyFont="1" applyBorder="1"/>
    <xf numFmtId="172" fontId="15" fillId="2" borderId="0" xfId="4" applyNumberFormat="1" applyFont="1" applyFill="1"/>
    <xf numFmtId="172" fontId="10" fillId="2" borderId="10" xfId="4" applyNumberFormat="1" applyFont="1" applyFill="1" applyBorder="1"/>
    <xf numFmtId="172" fontId="10" fillId="2" borderId="0" xfId="4" applyNumberFormat="1" applyFont="1" applyFill="1"/>
    <xf numFmtId="172" fontId="15" fillId="0" borderId="0" xfId="4" applyNumberFormat="1" applyFont="1"/>
    <xf numFmtId="172" fontId="10" fillId="0" borderId="10" xfId="4" applyNumberFormat="1" applyFont="1" applyBorder="1"/>
    <xf numFmtId="172" fontId="10" fillId="0" borderId="0" xfId="4" applyNumberFormat="1" applyFont="1"/>
    <xf numFmtId="166" fontId="10" fillId="0" borderId="9" xfId="0" applyNumberFormat="1" applyFont="1" applyBorder="1" applyAlignment="1">
      <alignment horizontal="left"/>
    </xf>
    <xf numFmtId="167" fontId="10" fillId="0" borderId="9" xfId="0" applyNumberFormat="1" applyFont="1" applyBorder="1" applyAlignment="1">
      <alignment horizontal="left"/>
    </xf>
    <xf numFmtId="168" fontId="10" fillId="0" borderId="9" xfId="0" applyNumberFormat="1" applyFont="1" applyBorder="1" applyAlignment="1">
      <alignment horizontal="left"/>
    </xf>
    <xf numFmtId="169" fontId="10" fillId="0" borderId="10" xfId="0" applyNumberFormat="1" applyFont="1" applyBorder="1" applyAlignment="1">
      <alignment horizontal="left"/>
    </xf>
    <xf numFmtId="171" fontId="15" fillId="5" borderId="0" xfId="0" applyNumberFormat="1" applyFont="1" applyFill="1" applyAlignment="1">
      <alignment horizontal="center" vertical="center" wrapText="1"/>
    </xf>
    <xf numFmtId="188" fontId="16" fillId="0" borderId="0" xfId="0" applyNumberFormat="1" applyFont="1" applyAlignment="1">
      <alignment horizontal="center" vertical="center"/>
    </xf>
    <xf numFmtId="172" fontId="16" fillId="0" borderId="0" xfId="0" applyNumberFormat="1" applyFont="1" applyAlignment="1">
      <alignment horizontal="center" vertical="center"/>
    </xf>
    <xf numFmtId="184" fontId="10" fillId="2" borderId="0" xfId="0" applyNumberFormat="1" applyFont="1" applyFill="1" applyAlignment="1">
      <alignment horizontal="center" vertical="center"/>
    </xf>
    <xf numFmtId="172" fontId="10" fillId="2" borderId="0" xfId="0" applyNumberFormat="1" applyFont="1" applyFill="1" applyAlignment="1">
      <alignment horizontal="center"/>
    </xf>
    <xf numFmtId="172" fontId="16" fillId="2" borderId="0" xfId="0" applyNumberFormat="1" applyFont="1" applyFill="1" applyAlignment="1">
      <alignment horizontal="center"/>
    </xf>
    <xf numFmtId="167" fontId="15" fillId="0" borderId="13" xfId="4" applyNumberFormat="1" applyFont="1" applyBorder="1" applyAlignment="1">
      <alignment horizontal="right"/>
    </xf>
    <xf numFmtId="166" fontId="16" fillId="2" borderId="23" xfId="3" applyNumberFormat="1" applyFont="1" applyFill="1" applyBorder="1" applyAlignment="1" applyProtection="1">
      <alignment horizontal="right"/>
      <protection locked="0"/>
    </xf>
    <xf numFmtId="180" fontId="10" fillId="6" borderId="15" xfId="13" quotePrefix="1" applyFont="1" applyFill="1" applyBorder="1" applyAlignment="1">
      <alignment horizontal="left"/>
    </xf>
    <xf numFmtId="166" fontId="10" fillId="5" borderId="0" xfId="4" applyNumberFormat="1" applyFont="1" applyFill="1" applyAlignment="1">
      <alignment horizontal="right"/>
    </xf>
    <xf numFmtId="167" fontId="21" fillId="5" borderId="0" xfId="4" applyNumberFormat="1" applyFont="1" applyFill="1" applyAlignment="1">
      <alignment horizontal="right"/>
    </xf>
    <xf numFmtId="172" fontId="22" fillId="5" borderId="10" xfId="4" applyNumberFormat="1" applyFont="1" applyFill="1" applyBorder="1" applyAlignment="1">
      <alignment horizontal="right"/>
    </xf>
    <xf numFmtId="173" fontId="21" fillId="5" borderId="0" xfId="4" applyNumberFormat="1" applyFont="1" applyFill="1" applyAlignment="1">
      <alignment horizontal="right"/>
    </xf>
    <xf numFmtId="9" fontId="19" fillId="5" borderId="0" xfId="3" applyFont="1" applyFill="1" applyBorder="1" applyAlignment="1">
      <alignment horizontal="right"/>
    </xf>
    <xf numFmtId="172" fontId="22" fillId="5" borderId="0" xfId="4" applyNumberFormat="1" applyFont="1" applyFill="1" applyAlignment="1">
      <alignment horizontal="right"/>
    </xf>
    <xf numFmtId="172" fontId="16" fillId="5" borderId="0" xfId="5" applyNumberFormat="1" applyFont="1" applyFill="1" applyBorder="1" applyAlignment="1">
      <alignment horizontal="right"/>
    </xf>
    <xf numFmtId="172" fontId="22" fillId="5" borderId="10" xfId="5" applyNumberFormat="1" applyFont="1" applyFill="1" applyBorder="1" applyAlignment="1">
      <alignment horizontal="right"/>
    </xf>
    <xf numFmtId="172" fontId="22" fillId="5" borderId="0" xfId="5" applyNumberFormat="1" applyFont="1" applyFill="1" applyBorder="1" applyAlignment="1">
      <alignment horizontal="right"/>
    </xf>
    <xf numFmtId="172" fontId="22" fillId="5" borderId="0" xfId="6" applyNumberFormat="1" applyFont="1" applyFill="1"/>
    <xf numFmtId="172" fontId="22" fillId="5" borderId="9" xfId="6" applyNumberFormat="1" applyFont="1" applyFill="1" applyBorder="1" applyAlignment="1">
      <alignment horizontal="right"/>
    </xf>
    <xf numFmtId="172" fontId="10" fillId="5" borderId="0" xfId="5" applyNumberFormat="1" applyFont="1" applyFill="1" applyBorder="1" applyAlignment="1">
      <alignment horizontal="right"/>
    </xf>
    <xf numFmtId="172" fontId="16" fillId="5" borderId="0" xfId="8" applyNumberFormat="1" applyFont="1" applyFill="1" applyBorder="1" applyAlignment="1">
      <alignment horizontal="right"/>
    </xf>
    <xf numFmtId="172" fontId="16" fillId="5" borderId="14" xfId="8" applyNumberFormat="1" applyFont="1" applyFill="1" applyBorder="1" applyAlignment="1">
      <alignment horizontal="right"/>
    </xf>
    <xf numFmtId="166" fontId="16" fillId="5" borderId="0" xfId="4" applyNumberFormat="1" applyFont="1" applyFill="1" applyAlignment="1">
      <alignment horizontal="right"/>
    </xf>
    <xf numFmtId="166" fontId="16" fillId="0" borderId="14" xfId="4" applyNumberFormat="1" applyFont="1" applyBorder="1" applyAlignment="1">
      <alignment horizontal="right"/>
    </xf>
    <xf numFmtId="172" fontId="16" fillId="5" borderId="0" xfId="6" applyNumberFormat="1" applyFont="1" applyFill="1"/>
    <xf numFmtId="172" fontId="16" fillId="0" borderId="0" xfId="5" applyNumberFormat="1" applyFont="1" applyBorder="1" applyAlignment="1">
      <alignment horizontal="right"/>
    </xf>
    <xf numFmtId="166" fontId="19" fillId="0" borderId="0" xfId="4" applyNumberFormat="1" applyAlignment="1">
      <alignment horizontal="right"/>
    </xf>
    <xf numFmtId="167" fontId="19" fillId="2" borderId="0" xfId="4" applyNumberFormat="1" applyFill="1" applyAlignment="1">
      <alignment horizontal="right"/>
    </xf>
    <xf numFmtId="178" fontId="19" fillId="2" borderId="0" xfId="1" applyNumberFormat="1" applyFont="1" applyFill="1" applyAlignment="1">
      <alignment horizontal="right"/>
    </xf>
    <xf numFmtId="0" fontId="19" fillId="0" borderId="0" xfId="0" applyFont="1"/>
    <xf numFmtId="178" fontId="10" fillId="0" borderId="0" xfId="1" applyNumberFormat="1" applyFont="1"/>
    <xf numFmtId="0" fontId="10" fillId="5" borderId="0" xfId="0" applyFont="1" applyFill="1"/>
    <xf numFmtId="178" fontId="10" fillId="5" borderId="0" xfId="1" applyNumberFormat="1" applyFont="1" applyFill="1"/>
    <xf numFmtId="166" fontId="16" fillId="2" borderId="0" xfId="4" applyNumberFormat="1" applyFont="1" applyFill="1" applyAlignment="1">
      <alignment horizontal="right"/>
    </xf>
    <xf numFmtId="174" fontId="22" fillId="5" borderId="0" xfId="4" applyNumberFormat="1" applyFont="1" applyFill="1" applyAlignment="1">
      <alignment horizontal="left"/>
    </xf>
    <xf numFmtId="0" fontId="19" fillId="5" borderId="0" xfId="4" applyFill="1" applyAlignment="1">
      <alignment horizontal="left" indent="1"/>
    </xf>
    <xf numFmtId="0" fontId="13" fillId="0" borderId="10" xfId="0" applyFont="1" applyBorder="1"/>
    <xf numFmtId="183" fontId="10" fillId="5" borderId="0" xfId="3" applyNumberFormat="1" applyFont="1" applyFill="1"/>
    <xf numFmtId="183" fontId="19" fillId="2" borderId="0" xfId="4" applyNumberFormat="1" applyFill="1" applyAlignment="1">
      <alignment horizontal="right"/>
    </xf>
    <xf numFmtId="183" fontId="10" fillId="5" borderId="0" xfId="1" applyNumberFormat="1" applyFont="1" applyFill="1"/>
    <xf numFmtId="166" fontId="19" fillId="2" borderId="0" xfId="4" applyNumberFormat="1" applyFill="1" applyAlignment="1">
      <alignment horizontal="right"/>
    </xf>
    <xf numFmtId="166" fontId="18" fillId="0" borderId="0" xfId="1" applyNumberFormat="1" applyFont="1" applyAlignment="1">
      <alignment horizontal="right"/>
    </xf>
    <xf numFmtId="166" fontId="19" fillId="0" borderId="0" xfId="3" applyNumberFormat="1" applyFont="1"/>
    <xf numFmtId="166" fontId="19" fillId="2" borderId="0" xfId="3" applyNumberFormat="1" applyFont="1" applyFill="1" applyAlignment="1">
      <alignment horizontal="right"/>
    </xf>
    <xf numFmtId="166" fontId="19" fillId="2" borderId="0" xfId="1" applyNumberFormat="1" applyFont="1" applyFill="1" applyAlignment="1">
      <alignment horizontal="right"/>
    </xf>
    <xf numFmtId="167" fontId="19" fillId="0" borderId="0" xfId="4" applyNumberFormat="1" applyAlignment="1">
      <alignment horizontal="right"/>
    </xf>
    <xf numFmtId="183" fontId="10" fillId="2" borderId="0" xfId="3" applyNumberFormat="1" applyFont="1" applyFill="1"/>
    <xf numFmtId="9" fontId="30" fillId="0" borderId="0" xfId="3" applyFont="1" applyFill="1"/>
    <xf numFmtId="0" fontId="10" fillId="2" borderId="0" xfId="4" applyFont="1" applyFill="1"/>
    <xf numFmtId="0" fontId="10" fillId="2" borderId="0" xfId="0" applyFont="1" applyFill="1"/>
    <xf numFmtId="167" fontId="30" fillId="0" borderId="0" xfId="3" applyNumberFormat="1" applyFont="1" applyFill="1"/>
    <xf numFmtId="167" fontId="30" fillId="2" borderId="0" xfId="3" applyNumberFormat="1" applyFont="1" applyFill="1"/>
    <xf numFmtId="167" fontId="10" fillId="0" borderId="0" xfId="4" applyNumberFormat="1" applyFont="1"/>
    <xf numFmtId="167" fontId="10" fillId="2" borderId="0" xfId="4" applyNumberFormat="1" applyFont="1" applyFill="1"/>
    <xf numFmtId="167" fontId="10" fillId="0" borderId="0" xfId="0" applyNumberFormat="1" applyFont="1"/>
    <xf numFmtId="167" fontId="10" fillId="2" borderId="0" xfId="0" applyNumberFormat="1" applyFont="1" applyFill="1"/>
    <xf numFmtId="0" fontId="30" fillId="0" borderId="0" xfId="4" applyFont="1"/>
    <xf numFmtId="167" fontId="30" fillId="0" borderId="0" xfId="4" applyNumberFormat="1" applyFont="1"/>
    <xf numFmtId="167" fontId="30" fillId="2" borderId="0" xfId="4" applyNumberFormat="1" applyFont="1" applyFill="1"/>
    <xf numFmtId="0" fontId="30" fillId="0" borderId="0" xfId="0" applyFont="1"/>
    <xf numFmtId="167" fontId="30" fillId="0" borderId="0" xfId="0" applyNumberFormat="1" applyFont="1"/>
    <xf numFmtId="167" fontId="30" fillId="2" borderId="0" xfId="0" applyNumberFormat="1" applyFont="1" applyFill="1"/>
    <xf numFmtId="0" fontId="21" fillId="5" borderId="0" xfId="4" applyFont="1" applyFill="1" applyAlignment="1">
      <alignment horizontal="left" indent="1"/>
    </xf>
    <xf numFmtId="0" fontId="21" fillId="0" borderId="0" xfId="4" applyFont="1"/>
    <xf numFmtId="0" fontId="19" fillId="0" borderId="0" xfId="4" quotePrefix="1"/>
    <xf numFmtId="166" fontId="19" fillId="0" borderId="0" xfId="4" applyNumberFormat="1"/>
    <xf numFmtId="166" fontId="19" fillId="5" borderId="0" xfId="4" applyNumberFormat="1" applyFill="1" applyAlignment="1">
      <alignment horizontal="right"/>
    </xf>
    <xf numFmtId="0" fontId="19" fillId="2" borderId="0" xfId="4" applyFill="1"/>
    <xf numFmtId="43" fontId="16" fillId="2" borderId="23" xfId="1" applyFont="1" applyFill="1" applyBorder="1" applyAlignment="1" applyProtection="1">
      <alignment horizontal="right"/>
      <protection locked="0"/>
    </xf>
    <xf numFmtId="0" fontId="41" fillId="0" borderId="0" xfId="0" applyFont="1"/>
    <xf numFmtId="169" fontId="10" fillId="0" borderId="0" xfId="0" applyNumberFormat="1" applyFont="1"/>
    <xf numFmtId="169" fontId="10" fillId="2" borderId="0" xfId="0" applyNumberFormat="1" applyFont="1" applyFill="1"/>
    <xf numFmtId="0" fontId="21" fillId="0" borderId="0" xfId="6" applyFont="1" applyAlignment="1">
      <alignment horizontal="left" indent="1"/>
    </xf>
    <xf numFmtId="0" fontId="19" fillId="0" borderId="10" xfId="4" quotePrefix="1" applyBorder="1"/>
    <xf numFmtId="166" fontId="10" fillId="2" borderId="10" xfId="4" applyNumberFormat="1" applyFont="1" applyFill="1" applyBorder="1" applyAlignment="1">
      <alignment horizontal="right"/>
    </xf>
    <xf numFmtId="176" fontId="10" fillId="2" borderId="0" xfId="6" applyNumberFormat="1" applyFont="1" applyFill="1"/>
    <xf numFmtId="0" fontId="0" fillId="2" borderId="0" xfId="0" applyFill="1"/>
    <xf numFmtId="166" fontId="19" fillId="0" borderId="10" xfId="4" applyNumberFormat="1" applyBorder="1"/>
    <xf numFmtId="166" fontId="19" fillId="2" borderId="0" xfId="4" applyNumberFormat="1" applyFill="1"/>
    <xf numFmtId="166" fontId="10" fillId="0" borderId="0" xfId="6" applyNumberFormat="1" applyFont="1"/>
    <xf numFmtId="166" fontId="10" fillId="2" borderId="0" xfId="6" applyNumberFormat="1" applyFont="1" applyFill="1"/>
    <xf numFmtId="166" fontId="10" fillId="0" borderId="14" xfId="6" applyNumberFormat="1" applyFont="1" applyBorder="1"/>
    <xf numFmtId="166" fontId="10" fillId="2" borderId="14" xfId="6" applyNumberFormat="1" applyFont="1" applyFill="1" applyBorder="1"/>
    <xf numFmtId="0" fontId="40" fillId="0" borderId="0" xfId="6" applyFont="1"/>
    <xf numFmtId="0" fontId="21" fillId="0" borderId="0" xfId="6" applyFont="1"/>
    <xf numFmtId="172" fontId="19" fillId="2" borderId="0" xfId="5" applyNumberFormat="1" applyFont="1" applyFill="1" applyBorder="1" applyAlignment="1">
      <alignment horizontal="right"/>
    </xf>
    <xf numFmtId="167" fontId="30" fillId="5" borderId="0" xfId="0" applyNumberFormat="1" applyFont="1" applyFill="1"/>
    <xf numFmtId="9" fontId="12" fillId="0" borderId="0" xfId="3" applyFont="1" applyFill="1" applyAlignment="1">
      <alignment vertical="center"/>
    </xf>
    <xf numFmtId="44" fontId="12" fillId="0" borderId="0" xfId="15" applyNumberFormat="1" applyFont="1" applyAlignment="1">
      <alignment vertical="center"/>
    </xf>
    <xf numFmtId="0" fontId="12" fillId="0" borderId="0" xfId="15" applyFont="1" applyAlignment="1">
      <alignment vertical="center"/>
    </xf>
    <xf numFmtId="9" fontId="10" fillId="0" borderId="0" xfId="3" applyFont="1" applyFill="1"/>
    <xf numFmtId="44" fontId="10" fillId="0" borderId="0" xfId="2" applyFont="1" applyFill="1"/>
    <xf numFmtId="178" fontId="10" fillId="0" borderId="0" xfId="1" applyNumberFormat="1" applyFont="1" applyFill="1"/>
    <xf numFmtId="190" fontId="16" fillId="0" borderId="0" xfId="0" applyNumberFormat="1" applyFont="1"/>
    <xf numFmtId="0" fontId="42" fillId="0" borderId="0" xfId="0" applyFont="1" applyAlignment="1">
      <alignment horizontal="centerContinuous"/>
    </xf>
    <xf numFmtId="44" fontId="10" fillId="8" borderId="14" xfId="2" applyFont="1" applyFill="1" applyBorder="1"/>
    <xf numFmtId="178" fontId="10" fillId="8" borderId="14" xfId="1" applyNumberFormat="1" applyFont="1" applyFill="1" applyBorder="1"/>
    <xf numFmtId="190" fontId="10" fillId="8" borderId="14" xfId="0" applyNumberFormat="1" applyFont="1" applyFill="1" applyBorder="1"/>
    <xf numFmtId="0" fontId="10" fillId="8" borderId="14" xfId="0" applyFont="1" applyFill="1" applyBorder="1"/>
    <xf numFmtId="0" fontId="10" fillId="8" borderId="21" xfId="0" applyFont="1" applyFill="1" applyBorder="1"/>
    <xf numFmtId="44" fontId="10" fillId="0" borderId="0" xfId="2" applyFont="1" applyFill="1" applyBorder="1"/>
    <xf numFmtId="178" fontId="10" fillId="0" borderId="0" xfId="1" applyNumberFormat="1" applyFont="1" applyFill="1" applyBorder="1"/>
    <xf numFmtId="190" fontId="10" fillId="0" borderId="0" xfId="0" applyNumberFormat="1" applyFont="1"/>
    <xf numFmtId="171" fontId="22" fillId="4" borderId="16" xfId="0" applyNumberFormat="1" applyFont="1" applyFill="1" applyBorder="1" applyAlignment="1">
      <alignment horizontal="center"/>
    </xf>
    <xf numFmtId="171" fontId="22" fillId="4" borderId="0" xfId="0" applyNumberFormat="1" applyFont="1" applyFill="1" applyAlignment="1">
      <alignment horizontal="center"/>
    </xf>
    <xf numFmtId="170" fontId="22" fillId="4" borderId="0" xfId="0" applyNumberFormat="1" applyFont="1" applyFill="1" applyAlignment="1">
      <alignment horizontal="center"/>
    </xf>
    <xf numFmtId="171" fontId="22" fillId="4" borderId="31" xfId="0" applyNumberFormat="1" applyFont="1" applyFill="1" applyBorder="1" applyAlignment="1">
      <alignment horizontal="center"/>
    </xf>
    <xf numFmtId="170" fontId="22" fillId="4" borderId="0" xfId="0" applyNumberFormat="1" applyFont="1" applyFill="1" applyAlignment="1">
      <alignment horizontal="centerContinuous"/>
    </xf>
    <xf numFmtId="0" fontId="12" fillId="3" borderId="22" xfId="0" applyFont="1" applyFill="1" applyBorder="1" applyAlignment="1">
      <alignment horizontal="centerContinuous"/>
    </xf>
    <xf numFmtId="0" fontId="12" fillId="3" borderId="10" xfId="0" applyFont="1" applyFill="1" applyBorder="1" applyAlignment="1">
      <alignment horizontal="centerContinuous"/>
    </xf>
    <xf numFmtId="0" fontId="12" fillId="3" borderId="32" xfId="0" applyFont="1" applyFill="1" applyBorder="1" applyAlignment="1">
      <alignment horizontal="centerContinuous"/>
    </xf>
    <xf numFmtId="2" fontId="12" fillId="3" borderId="33" xfId="0" applyNumberFormat="1" applyFont="1" applyFill="1" applyBorder="1" applyAlignment="1">
      <alignment horizontal="centerContinuous"/>
    </xf>
    <xf numFmtId="2" fontId="12" fillId="3" borderId="10" xfId="0" applyNumberFormat="1" applyFont="1" applyFill="1" applyBorder="1" applyAlignment="1">
      <alignment horizontal="centerContinuous"/>
    </xf>
    <xf numFmtId="2" fontId="12" fillId="3" borderId="32" xfId="0" applyNumberFormat="1" applyFont="1" applyFill="1" applyBorder="1" applyAlignment="1">
      <alignment horizontal="centerContinuous"/>
    </xf>
    <xf numFmtId="0" fontId="10" fillId="0" borderId="33" xfId="0" applyFont="1" applyBorder="1"/>
    <xf numFmtId="0" fontId="10" fillId="0" borderId="29" xfId="0" applyFont="1" applyBorder="1"/>
    <xf numFmtId="184" fontId="10" fillId="8" borderId="14" xfId="2" applyNumberFormat="1" applyFont="1" applyFill="1" applyBorder="1"/>
    <xf numFmtId="184" fontId="10" fillId="0" borderId="0" xfId="2" applyNumberFormat="1" applyFont="1" applyFill="1" applyBorder="1"/>
    <xf numFmtId="187" fontId="10" fillId="0" borderId="34" xfId="0" applyNumberFormat="1" applyFont="1" applyBorder="1" applyAlignment="1">
      <alignment horizontal="center" vertical="center"/>
    </xf>
    <xf numFmtId="187" fontId="10" fillId="0" borderId="27" xfId="0" applyNumberFormat="1" applyFont="1" applyBorder="1" applyAlignment="1">
      <alignment horizontal="center" vertical="center"/>
    </xf>
    <xf numFmtId="172" fontId="18" fillId="0" borderId="27" xfId="0" applyNumberFormat="1" applyFont="1" applyBorder="1" applyAlignment="1">
      <alignment horizontal="center" vertical="center"/>
    </xf>
    <xf numFmtId="172" fontId="10" fillId="0" borderId="27" xfId="0" applyNumberFormat="1" applyFont="1" applyBorder="1" applyAlignment="1">
      <alignment horizontal="center" vertical="center"/>
    </xf>
    <xf numFmtId="184" fontId="19" fillId="0" borderId="27" xfId="0" applyNumberFormat="1" applyFont="1" applyBorder="1" applyAlignment="1">
      <alignment horizontal="center" vertical="center"/>
    </xf>
    <xf numFmtId="16" fontId="16" fillId="0" borderId="27" xfId="0" applyNumberFormat="1" applyFont="1" applyBorder="1" applyAlignment="1">
      <alignment horizontal="center" vertical="center"/>
    </xf>
    <xf numFmtId="0" fontId="22" fillId="0" borderId="35" xfId="15" applyFont="1" applyBorder="1" applyAlignment="1">
      <alignment vertical="center"/>
    </xf>
    <xf numFmtId="190" fontId="14" fillId="0" borderId="14" xfId="0" applyNumberFormat="1" applyFont="1" applyBorder="1" applyAlignment="1">
      <alignment horizontal="center"/>
    </xf>
    <xf numFmtId="0" fontId="14" fillId="0" borderId="14" xfId="15" applyFont="1" applyBorder="1" applyAlignment="1">
      <alignment horizontal="center" vertical="center"/>
    </xf>
    <xf numFmtId="190" fontId="14" fillId="0" borderId="0" xfId="0" applyNumberFormat="1" applyFont="1" applyAlignment="1">
      <alignment horizontal="center"/>
    </xf>
    <xf numFmtId="187" fontId="19" fillId="8" borderId="16" xfId="0" applyNumberFormat="1" applyFont="1" applyFill="1" applyBorder="1" applyAlignment="1">
      <alignment horizontal="center" vertical="center"/>
    </xf>
    <xf numFmtId="187" fontId="19" fillId="8" borderId="0" xfId="0" applyNumberFormat="1" applyFont="1" applyFill="1" applyAlignment="1">
      <alignment horizontal="center" vertical="center"/>
    </xf>
    <xf numFmtId="190" fontId="14" fillId="8" borderId="0" xfId="0" applyNumberFormat="1" applyFont="1" applyFill="1" applyAlignment="1">
      <alignment horizontal="center"/>
    </xf>
    <xf numFmtId="0" fontId="14" fillId="8" borderId="0" xfId="15" applyFont="1" applyFill="1" applyAlignment="1">
      <alignment horizontal="center" vertical="center"/>
    </xf>
    <xf numFmtId="0" fontId="19" fillId="8" borderId="15" xfId="15" applyFont="1" applyFill="1" applyBorder="1" applyAlignment="1">
      <alignment vertical="center"/>
    </xf>
    <xf numFmtId="190" fontId="14" fillId="0" borderId="10" xfId="0" applyNumberFormat="1" applyFont="1" applyBorder="1" applyAlignment="1">
      <alignment horizontal="center"/>
    </xf>
    <xf numFmtId="187" fontId="10" fillId="0" borderId="0" xfId="0" applyNumberFormat="1" applyFont="1" applyAlignment="1">
      <alignment horizontal="center" vertical="center"/>
    </xf>
    <xf numFmtId="18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187" fontId="10" fillId="0" borderId="36" xfId="0" applyNumberFormat="1" applyFont="1" applyBorder="1" applyAlignment="1">
      <alignment horizontal="center" vertical="center"/>
    </xf>
    <xf numFmtId="172" fontId="16" fillId="0" borderId="36" xfId="0" applyNumberFormat="1" applyFont="1" applyBorder="1" applyAlignment="1">
      <alignment horizontal="center" vertical="center"/>
    </xf>
    <xf numFmtId="184" fontId="16" fillId="0" borderId="36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6" fontId="16" fillId="0" borderId="36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vertical="center"/>
    </xf>
    <xf numFmtId="187" fontId="10" fillId="0" borderId="26" xfId="0" applyNumberFormat="1" applyFont="1" applyBorder="1" applyAlignment="1">
      <alignment horizontal="center" vertical="center"/>
    </xf>
    <xf numFmtId="191" fontId="16" fillId="0" borderId="26" xfId="0" applyNumberFormat="1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16" fontId="16" fillId="0" borderId="26" xfId="0" applyNumberFormat="1" applyFont="1" applyBorder="1" applyAlignment="1">
      <alignment horizontal="center" vertical="center"/>
    </xf>
    <xf numFmtId="171" fontId="15" fillId="5" borderId="37" xfId="0" applyNumberFormat="1" applyFont="1" applyFill="1" applyBorder="1" applyAlignment="1">
      <alignment horizontal="center" vertical="center" wrapText="1"/>
    </xf>
    <xf numFmtId="170" fontId="15" fillId="5" borderId="7" xfId="0" applyNumberFormat="1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0" fillId="0" borderId="25" xfId="0" applyFont="1" applyBorder="1" applyAlignment="1">
      <alignment vertical="center"/>
    </xf>
    <xf numFmtId="0" fontId="12" fillId="3" borderId="0" xfId="0" applyFont="1" applyFill="1" applyAlignment="1">
      <alignment horizontal="centerContinuous" vertical="center"/>
    </xf>
    <xf numFmtId="2" fontId="12" fillId="3" borderId="31" xfId="0" applyNumberFormat="1" applyFont="1" applyFill="1" applyBorder="1" applyAlignment="1">
      <alignment horizontal="centerContinuous" vertical="center"/>
    </xf>
    <xf numFmtId="44" fontId="10" fillId="0" borderId="0" xfId="0" applyNumberFormat="1" applyFont="1"/>
    <xf numFmtId="0" fontId="16" fillId="0" borderId="38" xfId="0" applyFont="1" applyBorder="1"/>
    <xf numFmtId="0" fontId="16" fillId="0" borderId="41" xfId="0" applyFont="1" applyBorder="1"/>
    <xf numFmtId="3" fontId="43" fillId="9" borderId="0" xfId="0" applyNumberFormat="1" applyFont="1" applyFill="1"/>
    <xf numFmtId="0" fontId="44" fillId="9" borderId="0" xfId="0" applyFont="1" applyFill="1"/>
    <xf numFmtId="0" fontId="16" fillId="0" borderId="27" xfId="0" applyFont="1" applyBorder="1" applyAlignment="1">
      <alignment horizontal="left" vertical="center"/>
    </xf>
    <xf numFmtId="0" fontId="16" fillId="0" borderId="28" xfId="0" applyFont="1" applyBorder="1" applyAlignment="1">
      <alignment horizontal="left" vertical="center"/>
    </xf>
    <xf numFmtId="15" fontId="16" fillId="0" borderId="39" xfId="0" applyNumberFormat="1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15" fontId="16" fillId="0" borderId="9" xfId="0" applyNumberFormat="1" applyFont="1" applyBorder="1" applyAlignment="1">
      <alignment horizontal="center"/>
    </xf>
    <xf numFmtId="3" fontId="16" fillId="0" borderId="41" xfId="0" applyNumberFormat="1" applyFont="1" applyBorder="1" applyAlignment="1">
      <alignment horizontal="center"/>
    </xf>
    <xf numFmtId="15" fontId="16" fillId="0" borderId="14" xfId="0" applyNumberFormat="1" applyFont="1" applyBorder="1" applyAlignment="1">
      <alignment horizontal="center"/>
    </xf>
    <xf numFmtId="3" fontId="43" fillId="0" borderId="0" xfId="0" applyNumberFormat="1" applyFont="1"/>
    <xf numFmtId="0" fontId="12" fillId="4" borderId="14" xfId="0" applyFont="1" applyFill="1" applyBorder="1" applyAlignment="1">
      <alignment horizontal="left"/>
    </xf>
    <xf numFmtId="166" fontId="16" fillId="5" borderId="14" xfId="4" applyNumberFormat="1" applyFont="1" applyFill="1" applyBorder="1" applyAlignment="1">
      <alignment horizontal="right"/>
    </xf>
    <xf numFmtId="166" fontId="10" fillId="2" borderId="14" xfId="4" applyNumberFormat="1" applyFont="1" applyFill="1" applyBorder="1" applyAlignment="1">
      <alignment horizontal="right"/>
    </xf>
    <xf numFmtId="0" fontId="19" fillId="5" borderId="14" xfId="6" applyFont="1" applyFill="1" applyBorder="1"/>
    <xf numFmtId="172" fontId="16" fillId="0" borderId="14" xfId="5" applyNumberFormat="1" applyFont="1" applyFill="1" applyBorder="1" applyAlignment="1">
      <alignment horizontal="right"/>
    </xf>
    <xf numFmtId="0" fontId="30" fillId="0" borderId="21" xfId="0" applyFont="1" applyBorder="1" applyAlignment="1">
      <alignment horizontal="left" indent="1"/>
    </xf>
    <xf numFmtId="167" fontId="10" fillId="0" borderId="23" xfId="0" applyNumberFormat="1" applyFont="1" applyBorder="1"/>
    <xf numFmtId="0" fontId="15" fillId="0" borderId="21" xfId="0" applyFont="1" applyBorder="1" applyAlignment="1">
      <alignment horizontal="left"/>
    </xf>
    <xf numFmtId="166" fontId="15" fillId="0" borderId="23" xfId="0" applyNumberFormat="1" applyFont="1" applyBorder="1"/>
    <xf numFmtId="0" fontId="10" fillId="0" borderId="21" xfId="9" applyFont="1" applyBorder="1">
      <alignment vertical="top"/>
    </xf>
    <xf numFmtId="168" fontId="16" fillId="2" borderId="23" xfId="11" applyNumberFormat="1" applyFont="1" applyFill="1" applyBorder="1" applyAlignment="1">
      <alignment horizontal="right" vertical="center"/>
    </xf>
    <xf numFmtId="0" fontId="10" fillId="5" borderId="21" xfId="9" applyFont="1" applyFill="1" applyBorder="1">
      <alignment vertical="top"/>
    </xf>
    <xf numFmtId="0" fontId="15" fillId="0" borderId="21" xfId="9" applyFont="1" applyBorder="1">
      <alignment vertical="top"/>
    </xf>
    <xf numFmtId="0" fontId="10" fillId="0" borderId="14" xfId="0" applyFont="1" applyBorder="1"/>
    <xf numFmtId="10" fontId="30" fillId="0" borderId="14" xfId="3" applyNumberFormat="1" applyFont="1" applyBorder="1"/>
    <xf numFmtId="10" fontId="30" fillId="0" borderId="14" xfId="3" applyNumberFormat="1" applyFont="1" applyFill="1" applyBorder="1"/>
    <xf numFmtId="10" fontId="30" fillId="2" borderId="14" xfId="3" applyNumberFormat="1" applyFont="1" applyFill="1" applyBorder="1"/>
    <xf numFmtId="172" fontId="10" fillId="0" borderId="14" xfId="4" applyNumberFormat="1" applyFont="1" applyBorder="1"/>
    <xf numFmtId="172" fontId="10" fillId="2" borderId="14" xfId="4" applyNumberFormat="1" applyFont="1" applyFill="1" applyBorder="1"/>
    <xf numFmtId="180" fontId="30" fillId="6" borderId="21" xfId="13" applyFont="1" applyFill="1" applyBorder="1" applyAlignment="1">
      <alignment horizontal="left" indent="1"/>
    </xf>
    <xf numFmtId="183" fontId="30" fillId="0" borderId="23" xfId="12" applyNumberFormat="1" applyFont="1" applyFill="1" applyBorder="1" applyAlignment="1">
      <alignment horizontal="right"/>
    </xf>
    <xf numFmtId="0" fontId="47" fillId="0" borderId="0" xfId="0" applyFont="1"/>
    <xf numFmtId="0" fontId="47" fillId="0" borderId="15" xfId="0" applyFont="1" applyBorder="1"/>
    <xf numFmtId="9" fontId="47" fillId="0" borderId="0" xfId="3" applyFont="1" applyBorder="1" applyAlignment="1">
      <alignment horizontal="center"/>
    </xf>
    <xf numFmtId="44" fontId="47" fillId="0" borderId="16" xfId="2" applyFont="1" applyBorder="1"/>
    <xf numFmtId="0" fontId="46" fillId="11" borderId="29" xfId="0" applyFont="1" applyFill="1" applyBorder="1"/>
    <xf numFmtId="0" fontId="46" fillId="11" borderId="10" xfId="0" applyFont="1" applyFill="1" applyBorder="1" applyAlignment="1">
      <alignment horizontal="center"/>
    </xf>
    <xf numFmtId="0" fontId="46" fillId="11" borderId="22" xfId="0" applyFont="1" applyFill="1" applyBorder="1" applyAlignment="1">
      <alignment horizontal="center"/>
    </xf>
    <xf numFmtId="0" fontId="47" fillId="8" borderId="15" xfId="0" applyFont="1" applyFill="1" applyBorder="1"/>
    <xf numFmtId="0" fontId="47" fillId="8" borderId="0" xfId="0" applyFont="1" applyFill="1"/>
    <xf numFmtId="0" fontId="46" fillId="11" borderId="21" xfId="0" applyFont="1" applyFill="1" applyBorder="1"/>
    <xf numFmtId="0" fontId="46" fillId="11" borderId="14" xfId="0" applyFont="1" applyFill="1" applyBorder="1"/>
    <xf numFmtId="0" fontId="46" fillId="11" borderId="9" xfId="0" applyFont="1" applyFill="1" applyBorder="1"/>
    <xf numFmtId="179" fontId="46" fillId="11" borderId="13" xfId="3" applyNumberFormat="1" applyFont="1" applyFill="1" applyBorder="1" applyAlignment="1"/>
    <xf numFmtId="44" fontId="47" fillId="0" borderId="0" xfId="2" applyFont="1" applyBorder="1"/>
    <xf numFmtId="0" fontId="47" fillId="8" borderId="21" xfId="0" applyFont="1" applyFill="1" applyBorder="1"/>
    <xf numFmtId="44" fontId="47" fillId="0" borderId="14" xfId="2" applyFont="1" applyBorder="1"/>
    <xf numFmtId="44" fontId="47" fillId="0" borderId="23" xfId="2" applyFont="1" applyBorder="1"/>
    <xf numFmtId="0" fontId="49" fillId="0" borderId="0" xfId="0" applyFont="1"/>
    <xf numFmtId="4" fontId="48" fillId="0" borderId="0" xfId="0" applyNumberFormat="1" applyFont="1"/>
    <xf numFmtId="4" fontId="49" fillId="0" borderId="0" xfId="0" applyNumberFormat="1" applyFont="1"/>
    <xf numFmtId="4" fontId="49" fillId="14" borderId="0" xfId="0" applyNumberFormat="1" applyFont="1" applyFill="1"/>
    <xf numFmtId="4" fontId="50" fillId="13" borderId="0" xfId="0" applyNumberFormat="1" applyFont="1" applyFill="1"/>
    <xf numFmtId="0" fontId="15" fillId="4" borderId="12" xfId="4" applyFont="1" applyFill="1" applyBorder="1" applyAlignment="1">
      <alignment horizontal="centerContinuous" vertical="center"/>
    </xf>
    <xf numFmtId="0" fontId="15" fillId="4" borderId="9" xfId="4" applyFont="1" applyFill="1" applyBorder="1" applyAlignment="1">
      <alignment horizontal="centerContinuous" vertical="center"/>
    </xf>
    <xf numFmtId="0" fontId="15" fillId="4" borderId="13" xfId="4" applyFont="1" applyFill="1" applyBorder="1" applyAlignment="1">
      <alignment horizontal="centerContinuous" vertical="center"/>
    </xf>
    <xf numFmtId="10" fontId="49" fillId="16" borderId="0" xfId="0" applyNumberFormat="1" applyFont="1" applyFill="1"/>
    <xf numFmtId="187" fontId="10" fillId="0" borderId="0" xfId="0" applyNumberFormat="1" applyFont="1"/>
    <xf numFmtId="187" fontId="52" fillId="0" borderId="0" xfId="0" applyNumberFormat="1" applyFont="1"/>
    <xf numFmtId="187" fontId="52" fillId="0" borderId="0" xfId="0" applyNumberFormat="1" applyFont="1" applyAlignment="1">
      <alignment horizontal="center" vertical="center"/>
    </xf>
    <xf numFmtId="187" fontId="52" fillId="0" borderId="0" xfId="0" applyNumberFormat="1" applyFont="1" applyAlignment="1">
      <alignment horizontal="right"/>
    </xf>
    <xf numFmtId="193" fontId="0" fillId="0" borderId="0" xfId="0" applyNumberFormat="1"/>
    <xf numFmtId="0" fontId="0" fillId="0" borderId="15" xfId="0" applyBorder="1"/>
    <xf numFmtId="193" fontId="0" fillId="0" borderId="16" xfId="0" applyNumberFormat="1" applyBorder="1"/>
    <xf numFmtId="0" fontId="0" fillId="8" borderId="29" xfId="0" applyFill="1" applyBorder="1"/>
    <xf numFmtId="193" fontId="0" fillId="8" borderId="22" xfId="0" applyNumberFormat="1" applyFill="1" applyBorder="1"/>
    <xf numFmtId="0" fontId="0" fillId="17" borderId="12" xfId="0" applyFill="1" applyBorder="1"/>
    <xf numFmtId="193" fontId="0" fillId="17" borderId="13" xfId="0" applyNumberFormat="1" applyFill="1" applyBorder="1"/>
    <xf numFmtId="0" fontId="53" fillId="12" borderId="29" xfId="0" applyFont="1" applyFill="1" applyBorder="1"/>
    <xf numFmtId="193" fontId="53" fillId="12" borderId="22" xfId="0" applyNumberFormat="1" applyFont="1" applyFill="1" applyBorder="1"/>
    <xf numFmtId="2" fontId="54" fillId="3" borderId="0" xfId="0" applyNumberFormat="1" applyFont="1" applyFill="1" applyAlignment="1">
      <alignment horizontal="centerContinuous" vertical="center"/>
    </xf>
    <xf numFmtId="0" fontId="16" fillId="0" borderId="0" xfId="0" applyFont="1"/>
    <xf numFmtId="0" fontId="55" fillId="0" borderId="7" xfId="0" applyFont="1" applyBorder="1" applyAlignment="1">
      <alignment horizontal="left" vertical="center" wrapText="1"/>
    </xf>
    <xf numFmtId="171" fontId="55" fillId="5" borderId="37" xfId="0" applyNumberFormat="1" applyFont="1" applyFill="1" applyBorder="1" applyAlignment="1">
      <alignment horizontal="center" vertical="center" wrapText="1"/>
    </xf>
    <xf numFmtId="10" fontId="10" fillId="8" borderId="23" xfId="3" applyNumberFormat="1" applyFont="1" applyFill="1" applyBorder="1"/>
    <xf numFmtId="194" fontId="16" fillId="0" borderId="40" xfId="0" applyNumberFormat="1" applyFont="1" applyBorder="1" applyAlignment="1">
      <alignment horizontal="center"/>
    </xf>
    <xf numFmtId="195" fontId="43" fillId="0" borderId="0" xfId="0" applyNumberFormat="1" applyFont="1"/>
    <xf numFmtId="44" fontId="43" fillId="0" borderId="0" xfId="2" applyFont="1"/>
    <xf numFmtId="0" fontId="15" fillId="4" borderId="29" xfId="4" applyFont="1" applyFill="1" applyBorder="1"/>
    <xf numFmtId="3" fontId="45" fillId="10" borderId="10" xfId="0" applyNumberFormat="1" applyFont="1" applyFill="1" applyBorder="1"/>
    <xf numFmtId="4" fontId="45" fillId="10" borderId="22" xfId="0" applyNumberFormat="1" applyFont="1" applyFill="1" applyBorder="1"/>
    <xf numFmtId="0" fontId="15" fillId="4" borderId="21" xfId="4" applyFont="1" applyFill="1" applyBorder="1"/>
    <xf numFmtId="193" fontId="45" fillId="10" borderId="14" xfId="0" applyNumberFormat="1" applyFont="1" applyFill="1" applyBorder="1"/>
    <xf numFmtId="193" fontId="45" fillId="10" borderId="23" xfId="0" applyNumberFormat="1" applyFont="1" applyFill="1" applyBorder="1"/>
    <xf numFmtId="3" fontId="43" fillId="0" borderId="10" xfId="0" applyNumberFormat="1" applyFont="1" applyBorder="1"/>
    <xf numFmtId="193" fontId="43" fillId="0" borderId="10" xfId="0" applyNumberFormat="1" applyFont="1" applyBorder="1"/>
    <xf numFmtId="193" fontId="43" fillId="0" borderId="22" xfId="0" applyNumberFormat="1" applyFont="1" applyBorder="1"/>
    <xf numFmtId="193" fontId="43" fillId="0" borderId="0" xfId="0" applyNumberFormat="1" applyFont="1"/>
    <xf numFmtId="193" fontId="43" fillId="0" borderId="16" xfId="0" applyNumberFormat="1" applyFont="1" applyBorder="1"/>
    <xf numFmtId="3" fontId="43" fillId="0" borderId="14" xfId="0" applyNumberFormat="1" applyFont="1" applyBorder="1"/>
    <xf numFmtId="193" fontId="43" fillId="0" borderId="14" xfId="0" applyNumberFormat="1" applyFont="1" applyBorder="1"/>
    <xf numFmtId="193" fontId="43" fillId="0" borderId="23" xfId="0" applyNumberFormat="1" applyFont="1" applyBorder="1"/>
    <xf numFmtId="0" fontId="32" fillId="0" borderId="0" xfId="0" applyFont="1" applyAlignment="1">
      <alignment horizontal="center"/>
    </xf>
    <xf numFmtId="3" fontId="43" fillId="8" borderId="0" xfId="0" applyNumberFormat="1" applyFont="1" applyFill="1"/>
    <xf numFmtId="193" fontId="43" fillId="8" borderId="0" xfId="0" applyNumberFormat="1" applyFont="1" applyFill="1"/>
    <xf numFmtId="0" fontId="10" fillId="8" borderId="0" xfId="0" applyFont="1" applyFill="1"/>
    <xf numFmtId="193" fontId="43" fillId="8" borderId="16" xfId="0" applyNumberFormat="1" applyFont="1" applyFill="1" applyBorder="1"/>
    <xf numFmtId="10" fontId="46" fillId="11" borderId="23" xfId="3" applyNumberFormat="1" applyFont="1" applyFill="1" applyBorder="1" applyAlignment="1"/>
    <xf numFmtId="170" fontId="22" fillId="4" borderId="0" xfId="0" applyNumberFormat="1" applyFont="1" applyFill="1" applyAlignment="1">
      <alignment horizontal="left"/>
    </xf>
    <xf numFmtId="192" fontId="10" fillId="2" borderId="0" xfId="2" applyNumberFormat="1" applyFont="1" applyFill="1" applyAlignment="1">
      <alignment horizontal="center" vertical="top"/>
    </xf>
    <xf numFmtId="172" fontId="19" fillId="0" borderId="27" xfId="0" applyNumberFormat="1" applyFont="1" applyBorder="1" applyAlignment="1">
      <alignment horizontal="center" vertical="center"/>
    </xf>
    <xf numFmtId="10" fontId="10" fillId="0" borderId="0" xfId="3" applyNumberFormat="1" applyFont="1" applyFill="1" applyBorder="1"/>
    <xf numFmtId="10" fontId="10" fillId="0" borderId="16" xfId="3" applyNumberFormat="1" applyFont="1" applyFill="1" applyBorder="1"/>
    <xf numFmtId="10" fontId="10" fillId="8" borderId="14" xfId="3" applyNumberFormat="1" applyFont="1" applyFill="1" applyBorder="1"/>
    <xf numFmtId="10" fontId="10" fillId="0" borderId="0" xfId="0" applyNumberFormat="1" applyFont="1"/>
    <xf numFmtId="10" fontId="12" fillId="3" borderId="32" xfId="0" applyNumberFormat="1" applyFont="1" applyFill="1" applyBorder="1" applyAlignment="1">
      <alignment horizontal="centerContinuous"/>
    </xf>
    <xf numFmtId="10" fontId="12" fillId="3" borderId="10" xfId="0" applyNumberFormat="1" applyFont="1" applyFill="1" applyBorder="1" applyAlignment="1">
      <alignment horizontal="centerContinuous"/>
    </xf>
    <xf numFmtId="10" fontId="12" fillId="3" borderId="22" xfId="0" applyNumberFormat="1" applyFont="1" applyFill="1" applyBorder="1" applyAlignment="1">
      <alignment horizontal="centerContinuous"/>
    </xf>
    <xf numFmtId="10" fontId="22" fillId="4" borderId="0" xfId="0" applyNumberFormat="1" applyFont="1" applyFill="1" applyAlignment="1">
      <alignment horizontal="center"/>
    </xf>
    <xf numFmtId="10" fontId="22" fillId="4" borderId="16" xfId="0" applyNumberFormat="1" applyFont="1" applyFill="1" applyBorder="1" applyAlignment="1">
      <alignment horizontal="center"/>
    </xf>
    <xf numFmtId="10" fontId="52" fillId="8" borderId="23" xfId="3" applyNumberFormat="1" applyFont="1" applyFill="1" applyBorder="1"/>
    <xf numFmtId="44" fontId="47" fillId="0" borderId="16" xfId="2" applyFont="1" applyBorder="1" applyAlignment="1"/>
    <xf numFmtId="44" fontId="47" fillId="8" borderId="16" xfId="2" applyFont="1" applyFill="1" applyBorder="1" applyAlignment="1"/>
    <xf numFmtId="0" fontId="4" fillId="0" borderId="0" xfId="0" applyFont="1"/>
    <xf numFmtId="10" fontId="47" fillId="0" borderId="16" xfId="3" applyNumberFormat="1" applyFont="1" applyBorder="1" applyAlignment="1"/>
    <xf numFmtId="10" fontId="47" fillId="8" borderId="16" xfId="3" applyNumberFormat="1" applyFont="1" applyFill="1" applyBorder="1" applyAlignment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0" borderId="5" xfId="0" applyFont="1" applyBorder="1" applyAlignment="1">
      <alignment horizontal="center"/>
    </xf>
    <xf numFmtId="0" fontId="51" fillId="15" borderId="0" xfId="0" applyFont="1" applyFill="1" applyAlignment="1">
      <alignment horizontal="center"/>
    </xf>
    <xf numFmtId="0" fontId="51" fillId="15" borderId="0" xfId="0" applyFont="1" applyFill="1" applyAlignment="1">
      <alignment horizontal="center" vertical="center" textRotation="90"/>
    </xf>
    <xf numFmtId="10" fontId="12" fillId="3" borderId="32" xfId="0" applyNumberFormat="1" applyFont="1" applyFill="1" applyBorder="1" applyAlignment="1">
      <alignment horizontal="center"/>
    </xf>
    <xf numFmtId="10" fontId="12" fillId="3" borderId="10" xfId="0" applyNumberFormat="1" applyFont="1" applyFill="1" applyBorder="1" applyAlignment="1">
      <alignment horizontal="center"/>
    </xf>
    <xf numFmtId="10" fontId="12" fillId="3" borderId="22" xfId="0" applyNumberFormat="1" applyFont="1" applyFill="1" applyBorder="1" applyAlignment="1">
      <alignment horizontal="center"/>
    </xf>
    <xf numFmtId="0" fontId="12" fillId="3" borderId="25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8" fillId="5" borderId="0" xfId="6" applyFont="1" applyFill="1" applyAlignment="1">
      <alignment horizontal="left" indent="1"/>
    </xf>
    <xf numFmtId="0" fontId="0" fillId="5" borderId="0" xfId="0" applyFill="1"/>
  </cellXfs>
  <cellStyles count="20">
    <cellStyle name="Border Thin" xfId="5" xr:uid="{853F4F62-9F44-4987-99F0-985A5542359F}"/>
    <cellStyle name="Border Thin 2" xfId="8" xr:uid="{C28C85F2-E477-46E3-8B6A-C72BFB8AD02A}"/>
    <cellStyle name="Comma" xfId="1" builtinId="3"/>
    <cellStyle name="Currency" xfId="2" builtinId="4"/>
    <cellStyle name="Currency 2 2" xfId="18" xr:uid="{FFF280E7-4F9E-4815-9FE6-FE7CB044EE3A}"/>
    <cellStyle name="fa_data_standard" xfId="19" xr:uid="{B0EBDCDB-ACB2-4683-B727-34E85AF75D37}"/>
    <cellStyle name="Input 2" xfId="11" xr:uid="{5B0F05BC-7E91-40C8-A229-8F7DE0FDA4AE}"/>
    <cellStyle name="Normal" xfId="0" builtinId="0"/>
    <cellStyle name="Normal 10" xfId="4" xr:uid="{6AD2CAC1-4DBC-4021-B02C-F1224BB81FC8}"/>
    <cellStyle name="Normal 10 2" xfId="17" xr:uid="{C2EC56EE-C99F-4CAC-A846-2D9C3D092D0E}"/>
    <cellStyle name="Normal 11" xfId="16" xr:uid="{55895E57-3D74-4C70-AA5C-01E7C1AFC1F1}"/>
    <cellStyle name="Normal_Ahold3-backup" xfId="13" xr:uid="{041E7A55-0037-445E-AB6F-7E58AE386250}"/>
    <cellStyle name="Normal_BasicFCFModel" xfId="10" xr:uid="{B4180742-D176-4B08-83B8-04A0459CA8E2}"/>
    <cellStyle name="Normal_Ch03 Pics v1.0" xfId="15" xr:uid="{33C4E510-252B-40EB-9CF6-2E2C6D4412B5}"/>
    <cellStyle name="Normal_Copy of GAPValuationModelFullForecast2008" xfId="14" xr:uid="{13B23212-35EC-4F1F-A42E-952AD0483488}"/>
    <cellStyle name="Normal_Sheet" xfId="9" xr:uid="{F0C0FC9B-77BF-4972-B4D7-F26C71F83AD6}"/>
    <cellStyle name="Normal_Sheet2" xfId="6" xr:uid="{0C9EADD4-FAA3-4F5A-A9FC-754C4455AED3}"/>
    <cellStyle name="Percent" xfId="3" builtinId="5"/>
    <cellStyle name="Percent 2" xfId="12" xr:uid="{B2CCBEBC-A5EB-460A-AE65-88EDA6290D9E}"/>
    <cellStyle name="Table Sub Head" xfId="7" xr:uid="{C54F87B9-9B4C-494A-AF1B-B90229E1DC2A}"/>
  </cellStyles>
  <dxfs count="22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indexed="12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2"/>
      </font>
      <border>
        <top style="thin">
          <color indexed="64"/>
        </top>
      </border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2"/>
      </font>
      <border>
        <top style="thin">
          <color indexed="64"/>
        </top>
      </border>
    </dxf>
    <dxf>
      <font>
        <condense val="0"/>
        <extend val="0"/>
        <color indexed="12"/>
      </font>
    </dxf>
  </dxfs>
  <tableStyles count="0" defaultTableStyle="TableStyleMedium2" defaultPivotStyle="PivotStyleLight16"/>
  <colors>
    <mruColors>
      <color rgb="FFA4C298"/>
      <color rgb="FF0000FF"/>
      <color rgb="FFC4D2EE"/>
      <color rgb="FFEFBF04"/>
      <color rgb="FF050A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'Supporting Schedules'!$B$120</c:f>
              <c:strCache>
                <c:ptCount val="1"/>
                <c:pt idx="0">
                  <c:v>Footwear as a % of Revenue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'Supporting Schedules'!$C$6:$Q$6</c:f>
              <c:numCache>
                <c:formatCode>0"A"</c:formatCod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  <c:pt idx="9" formatCode="0&quot;E&quot;">
                  <c:v>2029</c:v>
                </c:pt>
                <c:pt idx="10" formatCode="0&quot;E&quot;">
                  <c:v>2030</c:v>
                </c:pt>
                <c:pt idx="11" formatCode="0&quot;E&quot;">
                  <c:v>2031</c:v>
                </c:pt>
                <c:pt idx="12" formatCode="0&quot;E&quot;">
                  <c:v>2032</c:v>
                </c:pt>
                <c:pt idx="13" formatCode="0&quot;E&quot;">
                  <c:v>2033</c:v>
                </c:pt>
                <c:pt idx="14" formatCode="0&quot;E&quot;">
                  <c:v>2034</c:v>
                </c:pt>
              </c:numCache>
            </c:numRef>
          </c:cat>
          <c:val>
            <c:numRef>
              <c:f>'Supporting Schedules'!$C$120:$Q$120</c:f>
              <c:numCache>
                <c:formatCode>0.00%;\(0.00%\);\-</c:formatCode>
                <c:ptCount val="15"/>
                <c:pt idx="0">
                  <c:v>0.62307836269817929</c:v>
                </c:pt>
                <c:pt idx="1">
                  <c:v>0.62914814315865109</c:v>
                </c:pt>
                <c:pt idx="2">
                  <c:v>0.62391350888460717</c:v>
                </c:pt>
                <c:pt idx="3">
                  <c:v>0.64695316008356596</c:v>
                </c:pt>
                <c:pt idx="4">
                  <c:v>0.65081188427241932</c:v>
                </c:pt>
                <c:pt idx="5">
                  <c:v>0.63724114103090113</c:v>
                </c:pt>
                <c:pt idx="6">
                  <c:v>0.64609164827125376</c:v>
                </c:pt>
                <c:pt idx="7">
                  <c:v>0.65032452914171013</c:v>
                </c:pt>
                <c:pt idx="8">
                  <c:v>0.65259947478242308</c:v>
                </c:pt>
                <c:pt idx="9">
                  <c:v>0.65650841055724518</c:v>
                </c:pt>
                <c:pt idx="10">
                  <c:v>0.65988823814133379</c:v>
                </c:pt>
                <c:pt idx="11">
                  <c:v>0.67171849401889283</c:v>
                </c:pt>
                <c:pt idx="12">
                  <c:v>0.67804591153321381</c:v>
                </c:pt>
                <c:pt idx="13">
                  <c:v>0.68543606543312008</c:v>
                </c:pt>
                <c:pt idx="14">
                  <c:v>0.69393535350073265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D-4E55-A887-1C385A210670}"/>
            </c:ext>
          </c:extLst>
        </c:ser>
        <c:ser>
          <c:idx val="1"/>
          <c:order val="1"/>
          <c:tx>
            <c:strRef>
              <c:f>'Supporting Schedules'!$B$121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'Supporting Schedules'!$C$6:$Q$6</c:f>
              <c:numCache>
                <c:formatCode>0"A"</c:formatCod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  <c:pt idx="9" formatCode="0&quot;E&quot;">
                  <c:v>2029</c:v>
                </c:pt>
                <c:pt idx="10" formatCode="0&quot;E&quot;">
                  <c:v>2030</c:v>
                </c:pt>
                <c:pt idx="11" formatCode="0&quot;E&quot;">
                  <c:v>2031</c:v>
                </c:pt>
                <c:pt idx="12" formatCode="0&quot;E&quot;">
                  <c:v>2032</c:v>
                </c:pt>
                <c:pt idx="13" formatCode="0&quot;E&quot;">
                  <c:v>2033</c:v>
                </c:pt>
                <c:pt idx="14" formatCode="0&quot;E&quot;">
                  <c:v>2034</c:v>
                </c:pt>
              </c:numCache>
            </c:numRef>
          </c:cat>
          <c:val>
            <c:numRef>
              <c:f>'Supporting Schedules'!$C$121:$Q$121</c:f>
              <c:numCache>
                <c:formatCode>0.00%;\(0.00%\);\-</c:formatCode>
                <c:ptCount val="15"/>
                <c:pt idx="0">
                  <c:v>0.43421650669732376</c:v>
                </c:pt>
                <c:pt idx="1">
                  <c:v>0.44820153576721</c:v>
                </c:pt>
                <c:pt idx="2">
                  <c:v>0.45983729394134021</c:v>
                </c:pt>
                <c:pt idx="3">
                  <c:v>0.43524610969014194</c:v>
                </c:pt>
                <c:pt idx="4">
                  <c:v>0.44560180678322497</c:v>
                </c:pt>
                <c:pt idx="5">
                  <c:v>0.42734673605562634</c:v>
                </c:pt>
                <c:pt idx="6">
                  <c:v>0.42174166482247777</c:v>
                </c:pt>
                <c:pt idx="7">
                  <c:v>0.42674166482247783</c:v>
                </c:pt>
                <c:pt idx="8">
                  <c:v>0.43174166482247778</c:v>
                </c:pt>
                <c:pt idx="9">
                  <c:v>0.43674166482247778</c:v>
                </c:pt>
                <c:pt idx="10">
                  <c:v>0.44174166482247779</c:v>
                </c:pt>
                <c:pt idx="11">
                  <c:v>0.44174166482247784</c:v>
                </c:pt>
                <c:pt idx="12">
                  <c:v>0.44174166482247779</c:v>
                </c:pt>
                <c:pt idx="13">
                  <c:v>0.44174166482247784</c:v>
                </c:pt>
                <c:pt idx="14">
                  <c:v>0.44174166482247773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AD-4E55-A887-1C385A210670}"/>
            </c:ext>
          </c:extLst>
        </c:ser>
        <c:ser>
          <c:idx val="2"/>
          <c:order val="2"/>
          <c:tx>
            <c:strRef>
              <c:f>'Supporting Schedules'!$B$122</c:f>
              <c:strCache>
                <c:ptCount val="1"/>
                <c:pt idx="0">
                  <c:v>Net Margin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'Supporting Schedules'!$C$6:$Q$6</c:f>
              <c:numCache>
                <c:formatCode>0"A"</c:formatCod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  <c:pt idx="9" formatCode="0&quot;E&quot;">
                  <c:v>2029</c:v>
                </c:pt>
                <c:pt idx="10" formatCode="0&quot;E&quot;">
                  <c:v>2030</c:v>
                </c:pt>
                <c:pt idx="11" formatCode="0&quot;E&quot;">
                  <c:v>2031</c:v>
                </c:pt>
                <c:pt idx="12" formatCode="0&quot;E&quot;">
                  <c:v>2032</c:v>
                </c:pt>
                <c:pt idx="13" formatCode="0&quot;E&quot;">
                  <c:v>2033</c:v>
                </c:pt>
                <c:pt idx="14" formatCode="0&quot;E&quot;">
                  <c:v>2034</c:v>
                </c:pt>
              </c:numCache>
            </c:numRef>
          </c:cat>
          <c:val>
            <c:numRef>
              <c:f>'Supporting Schedules'!$C$122:$Q$122</c:f>
              <c:numCache>
                <c:formatCode>0.00%;\(0.00%\);\-</c:formatCode>
                <c:ptCount val="15"/>
                <c:pt idx="0">
                  <c:v>6.7882255434056085E-2</c:v>
                </c:pt>
                <c:pt idx="1">
                  <c:v>0.12858682473393507</c:v>
                </c:pt>
                <c:pt idx="2">
                  <c:v>0.12943695140226932</c:v>
                </c:pt>
                <c:pt idx="3">
                  <c:v>9.8990569537458259E-2</c:v>
                </c:pt>
                <c:pt idx="4">
                  <c:v>0.11097698687745804</c:v>
                </c:pt>
                <c:pt idx="5">
                  <c:v>6.9511326092120324E-2</c:v>
                </c:pt>
                <c:pt idx="6">
                  <c:v>5.1699057814331775E-2</c:v>
                </c:pt>
                <c:pt idx="7">
                  <c:v>7.2492550764815686E-2</c:v>
                </c:pt>
                <c:pt idx="8">
                  <c:v>7.7161445805107837E-2</c:v>
                </c:pt>
                <c:pt idx="9">
                  <c:v>0.11415430902402636</c:v>
                </c:pt>
                <c:pt idx="10">
                  <c:v>0.11882720688619863</c:v>
                </c:pt>
                <c:pt idx="11">
                  <c:v>0.11946766034445427</c:v>
                </c:pt>
                <c:pt idx="12">
                  <c:v>0.11993529887144529</c:v>
                </c:pt>
                <c:pt idx="13">
                  <c:v>0.12025885982276689</c:v>
                </c:pt>
                <c:pt idx="14">
                  <c:v>0.12044898384886574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AD-4E55-A887-1C385A210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292848"/>
        <c:axId val="1410298608"/>
      </c:lineChart>
      <c:catAx>
        <c:axId val="1410292848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410298608"/>
        <c:crosses val="autoZero"/>
        <c:auto val="1"/>
        <c:lblAlgn val="ctr"/>
        <c:lblOffset val="100"/>
        <c:noMultiLvlLbl val="0"/>
      </c:catAx>
      <c:valAx>
        <c:axId val="1410298608"/>
        <c:scaling>
          <c:orientation val="minMax"/>
        </c:scaling>
        <c:delete val="0"/>
        <c:axPos val="l"/>
        <c:numFmt formatCode="0%;\(0%\);\-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4102928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'Supporting Schedules'!$B$122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'Supporting Schedules'!$C$6:$Q$6</c:f>
              <c:numCache>
                <c:formatCode>0"A"</c:formatCod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  <c:pt idx="9" formatCode="0&quot;E&quot;">
                  <c:v>2029</c:v>
                </c:pt>
                <c:pt idx="10" formatCode="0&quot;E&quot;">
                  <c:v>2030</c:v>
                </c:pt>
                <c:pt idx="11" formatCode="0&quot;E&quot;">
                  <c:v>2031</c:v>
                </c:pt>
                <c:pt idx="12" formatCode="0&quot;E&quot;">
                  <c:v>2032</c:v>
                </c:pt>
                <c:pt idx="13" formatCode="0&quot;E&quot;">
                  <c:v>2033</c:v>
                </c:pt>
                <c:pt idx="14" formatCode="0&quot;E&quot;">
                  <c:v>2034</c:v>
                </c:pt>
              </c:numCache>
            </c:numRef>
          </c:cat>
          <c:val>
            <c:numRef>
              <c:f>'Supporting Schedules'!$C$122:$Q$122</c:f>
              <c:numCache>
                <c:formatCode>0.00%;\(0.00%\);\-</c:formatCode>
                <c:ptCount val="15"/>
                <c:pt idx="0">
                  <c:v>6.7882255434056085E-2</c:v>
                </c:pt>
                <c:pt idx="1">
                  <c:v>0.12858682473393507</c:v>
                </c:pt>
                <c:pt idx="2">
                  <c:v>0.12943695140226932</c:v>
                </c:pt>
                <c:pt idx="3">
                  <c:v>9.8990569537458259E-2</c:v>
                </c:pt>
                <c:pt idx="4">
                  <c:v>0.11097698687745804</c:v>
                </c:pt>
                <c:pt idx="5">
                  <c:v>6.9511326092120324E-2</c:v>
                </c:pt>
                <c:pt idx="6">
                  <c:v>5.1699057814331775E-2</c:v>
                </c:pt>
                <c:pt idx="7">
                  <c:v>7.2492550764815686E-2</c:v>
                </c:pt>
                <c:pt idx="8">
                  <c:v>7.7161445805107837E-2</c:v>
                </c:pt>
                <c:pt idx="9">
                  <c:v>0.11415430902402636</c:v>
                </c:pt>
                <c:pt idx="10">
                  <c:v>0.11882720688619863</c:v>
                </c:pt>
                <c:pt idx="11">
                  <c:v>0.11946766034445427</c:v>
                </c:pt>
                <c:pt idx="12">
                  <c:v>0.11993529887144529</c:v>
                </c:pt>
                <c:pt idx="13">
                  <c:v>0.12025885982276689</c:v>
                </c:pt>
                <c:pt idx="14">
                  <c:v>0.12044898384886574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3-46CA-8C3F-05AA23A81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649007983"/>
        <c:axId val="1649008943"/>
      </c:barChart>
      <c:catAx>
        <c:axId val="1649007983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49008943"/>
        <c:crosses val="autoZero"/>
        <c:auto val="1"/>
        <c:lblAlgn val="ctr"/>
        <c:lblOffset val="100"/>
        <c:noMultiLvlLbl val="0"/>
      </c:catAx>
      <c:valAx>
        <c:axId val="1649008943"/>
        <c:scaling>
          <c:orientation val="minMax"/>
        </c:scaling>
        <c:delete val="1"/>
        <c:axPos val="l"/>
        <c:numFmt formatCode="0%;\(0%\);\-" sourceLinked="0"/>
        <c:majorTickMark val="none"/>
        <c:minorTickMark val="none"/>
        <c:tickLblPos val="nextTo"/>
        <c:crossAx val="164900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'Supporting Schedules'!$B$121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'Supporting Schedules'!$C$6:$Q$6</c:f>
              <c:numCache>
                <c:formatCode>0"A"</c:formatCod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  <c:pt idx="9" formatCode="0&quot;E&quot;">
                  <c:v>2029</c:v>
                </c:pt>
                <c:pt idx="10" formatCode="0&quot;E&quot;">
                  <c:v>2030</c:v>
                </c:pt>
                <c:pt idx="11" formatCode="0&quot;E&quot;">
                  <c:v>2031</c:v>
                </c:pt>
                <c:pt idx="12" formatCode="0&quot;E&quot;">
                  <c:v>2032</c:v>
                </c:pt>
                <c:pt idx="13" formatCode="0&quot;E&quot;">
                  <c:v>2033</c:v>
                </c:pt>
                <c:pt idx="14" formatCode="0&quot;E&quot;">
                  <c:v>2034</c:v>
                </c:pt>
              </c:numCache>
            </c:numRef>
          </c:cat>
          <c:val>
            <c:numRef>
              <c:f>'Supporting Schedules'!$C$121:$Q$121</c:f>
              <c:numCache>
                <c:formatCode>0.00%;\(0.00%\);\-</c:formatCode>
                <c:ptCount val="15"/>
                <c:pt idx="0">
                  <c:v>0.43421650669732376</c:v>
                </c:pt>
                <c:pt idx="1">
                  <c:v>0.44820153576721</c:v>
                </c:pt>
                <c:pt idx="2">
                  <c:v>0.45983729394134021</c:v>
                </c:pt>
                <c:pt idx="3">
                  <c:v>0.43524610969014194</c:v>
                </c:pt>
                <c:pt idx="4">
                  <c:v>0.44560180678322497</c:v>
                </c:pt>
                <c:pt idx="5">
                  <c:v>0.42734673605562634</c:v>
                </c:pt>
                <c:pt idx="6">
                  <c:v>0.42174166482247777</c:v>
                </c:pt>
                <c:pt idx="7">
                  <c:v>0.42674166482247783</c:v>
                </c:pt>
                <c:pt idx="8">
                  <c:v>0.43174166482247778</c:v>
                </c:pt>
                <c:pt idx="9">
                  <c:v>0.43674166482247778</c:v>
                </c:pt>
                <c:pt idx="10">
                  <c:v>0.44174166482247779</c:v>
                </c:pt>
                <c:pt idx="11">
                  <c:v>0.44174166482247784</c:v>
                </c:pt>
                <c:pt idx="12">
                  <c:v>0.44174166482247779</c:v>
                </c:pt>
                <c:pt idx="13">
                  <c:v>0.44174166482247784</c:v>
                </c:pt>
                <c:pt idx="14">
                  <c:v>0.44174166482247773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3-41A0-A9F0-3B82A9D43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645907487"/>
        <c:axId val="1645911807"/>
      </c:barChart>
      <c:catAx>
        <c:axId val="1645907487"/>
        <c:scaling>
          <c:orientation val="minMax"/>
        </c:scaling>
        <c:delete val="1"/>
        <c:axPos val="b"/>
        <c:numFmt formatCode="0&quot;A&quot;" sourceLinked="1"/>
        <c:majorTickMark val="none"/>
        <c:minorTickMark val="none"/>
        <c:tickLblPos val="nextTo"/>
        <c:crossAx val="1645911807"/>
        <c:crosses val="autoZero"/>
        <c:auto val="1"/>
        <c:lblAlgn val="ctr"/>
        <c:lblOffset val="100"/>
        <c:noMultiLvlLbl val="0"/>
      </c:catAx>
      <c:valAx>
        <c:axId val="1645911807"/>
        <c:scaling>
          <c:orientation val="minMax"/>
        </c:scaling>
        <c:delete val="1"/>
        <c:axPos val="l"/>
        <c:numFmt formatCode="0%;\(0%\);\-" sourceLinked="0"/>
        <c:majorTickMark val="out"/>
        <c:minorTickMark val="none"/>
        <c:tickLblPos val="nextTo"/>
        <c:crossAx val="164590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'Supporting Schedules'!$B$120</c:f>
              <c:strCache>
                <c:ptCount val="1"/>
                <c:pt idx="0">
                  <c:v>Footwear as a % of Revenue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'Supporting Schedules'!$C$6:$Q$6</c:f>
              <c:numCache>
                <c:formatCode>0"A"</c:formatCod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  <c:pt idx="7" formatCode="0&quot;E&quot;">
                  <c:v>2027</c:v>
                </c:pt>
                <c:pt idx="8" formatCode="0&quot;E&quot;">
                  <c:v>2028</c:v>
                </c:pt>
                <c:pt idx="9" formatCode="0&quot;E&quot;">
                  <c:v>2029</c:v>
                </c:pt>
                <c:pt idx="10" formatCode="0&quot;E&quot;">
                  <c:v>2030</c:v>
                </c:pt>
                <c:pt idx="11" formatCode="0&quot;E&quot;">
                  <c:v>2031</c:v>
                </c:pt>
                <c:pt idx="12" formatCode="0&quot;E&quot;">
                  <c:v>2032</c:v>
                </c:pt>
                <c:pt idx="13" formatCode="0&quot;E&quot;">
                  <c:v>2033</c:v>
                </c:pt>
                <c:pt idx="14" formatCode="0&quot;E&quot;">
                  <c:v>2034</c:v>
                </c:pt>
              </c:numCache>
            </c:numRef>
          </c:cat>
          <c:val>
            <c:numRef>
              <c:f>'Supporting Schedules'!$C$120:$Q$120</c:f>
              <c:numCache>
                <c:formatCode>0.00%;\(0.00%\);\-</c:formatCode>
                <c:ptCount val="15"/>
                <c:pt idx="0">
                  <c:v>0.62307836269817929</c:v>
                </c:pt>
                <c:pt idx="1">
                  <c:v>0.62914814315865109</c:v>
                </c:pt>
                <c:pt idx="2">
                  <c:v>0.62391350888460717</c:v>
                </c:pt>
                <c:pt idx="3">
                  <c:v>0.64695316008356596</c:v>
                </c:pt>
                <c:pt idx="4">
                  <c:v>0.65081188427241932</c:v>
                </c:pt>
                <c:pt idx="5">
                  <c:v>0.63724114103090113</c:v>
                </c:pt>
                <c:pt idx="6">
                  <c:v>0.64609164827125376</c:v>
                </c:pt>
                <c:pt idx="7">
                  <c:v>0.65032452914171013</c:v>
                </c:pt>
                <c:pt idx="8">
                  <c:v>0.65259947478242308</c:v>
                </c:pt>
                <c:pt idx="9">
                  <c:v>0.65650841055724518</c:v>
                </c:pt>
                <c:pt idx="10">
                  <c:v>0.65988823814133379</c:v>
                </c:pt>
                <c:pt idx="11">
                  <c:v>0.67171849401889283</c:v>
                </c:pt>
                <c:pt idx="12">
                  <c:v>0.67804591153321381</c:v>
                </c:pt>
                <c:pt idx="13">
                  <c:v>0.68543606543312008</c:v>
                </c:pt>
                <c:pt idx="14">
                  <c:v>0.69393535350073265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C-4574-BF5F-48BA402641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706912239"/>
        <c:axId val="1706904559"/>
      </c:barChart>
      <c:catAx>
        <c:axId val="1706912239"/>
        <c:scaling>
          <c:orientation val="minMax"/>
        </c:scaling>
        <c:delete val="0"/>
        <c:axPos val="b"/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706904559"/>
        <c:crosses val="autoZero"/>
        <c:auto val="1"/>
        <c:lblAlgn val="ctr"/>
        <c:lblOffset val="100"/>
        <c:noMultiLvlLbl val="0"/>
      </c:catAx>
      <c:valAx>
        <c:axId val="1706904559"/>
        <c:scaling>
          <c:orientation val="minMax"/>
        </c:scaling>
        <c:delete val="1"/>
        <c:axPos val="l"/>
        <c:numFmt formatCode="0.00%;\(0.00%\);\-" sourceLinked="1"/>
        <c:majorTickMark val="none"/>
        <c:minorTickMark val="none"/>
        <c:tickLblPos val="nextTo"/>
        <c:crossAx val="170691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B1-4227-9968-BDCE80ACA7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'Supporting Schedules'!$B$155:$B$161</c:f>
              <c:strCache>
                <c:ptCount val="7"/>
                <c:pt idx="0">
                  <c:v>JPM</c:v>
                </c:pt>
                <c:pt idx="1">
                  <c:v>TD</c:v>
                </c:pt>
                <c:pt idx="2">
                  <c:v>RBC</c:v>
                </c:pt>
                <c:pt idx="3">
                  <c:v>GS</c:v>
                </c:pt>
                <c:pt idx="4">
                  <c:v>Evercore</c:v>
                </c:pt>
                <c:pt idx="5">
                  <c:v>Average</c:v>
                </c:pt>
                <c:pt idx="6">
                  <c:v>Our Target</c:v>
                </c:pt>
              </c:strCache>
            </c:strRef>
          </c:cat>
          <c:val>
            <c:numRef>
              <c:f>'Supporting Schedules'!$C$155:$C$161</c:f>
              <c:numCache>
                <c:formatCode>_-[$$-1009]* #,##0.00_-;\-[$$-1009]* #,##0.00_-;_-[$$-1009]* "-"??_-;_-@_-</c:formatCode>
                <c:ptCount val="7"/>
                <c:pt idx="0">
                  <c:v>86</c:v>
                </c:pt>
                <c:pt idx="1">
                  <c:v>86</c:v>
                </c:pt>
                <c:pt idx="2">
                  <c:v>85</c:v>
                </c:pt>
                <c:pt idx="3">
                  <c:v>77</c:v>
                </c:pt>
                <c:pt idx="4">
                  <c:v>77</c:v>
                </c:pt>
                <c:pt idx="5">
                  <c:v>82.2</c:v>
                </c:pt>
                <c:pt idx="6">
                  <c:v>69.723037753470507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B1-4227-9968-BDCE80ACA7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100601807"/>
        <c:axId val="1100599407"/>
      </c:barChart>
      <c:catAx>
        <c:axId val="110060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100599407"/>
        <c:crosses val="autoZero"/>
        <c:auto val="1"/>
        <c:lblAlgn val="ctr"/>
        <c:lblOffset val="100"/>
        <c:noMultiLvlLbl val="0"/>
      </c:catAx>
      <c:valAx>
        <c:axId val="1100599407"/>
        <c:scaling>
          <c:orientation val="minMax"/>
        </c:scaling>
        <c:delete val="1"/>
        <c:axPos val="l"/>
        <c:numFmt formatCode="_-[$$-1009]* #,##0.00_-;\-[$$-1009]* #,##0.00_-;_-[$$-1009]* &quot;-&quot;??_-;_-@_-" sourceLinked="1"/>
        <c:majorTickMark val="none"/>
        <c:minorTickMark val="none"/>
        <c:tickLblPos val="nextTo"/>
        <c:crossAx val="110060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'Supporting Schedules'!$C$183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'Supporting Schedules'!$B$184:$B$189</c:f>
              <c:strCache>
                <c:ptCount val="6"/>
                <c:pt idx="0">
                  <c:v>DCF: Perpetuity Growth</c:v>
                </c:pt>
                <c:pt idx="1">
                  <c:v>Comps: P/E</c:v>
                </c:pt>
                <c:pt idx="2">
                  <c:v>Comps: EV/EBITDA</c:v>
                </c:pt>
                <c:pt idx="3">
                  <c:v>PTA: TV/Revenue</c:v>
                </c:pt>
                <c:pt idx="4">
                  <c:v>PTA: Offer Price/EPS</c:v>
                </c:pt>
                <c:pt idx="5">
                  <c:v>Analyst Targets</c:v>
                </c:pt>
              </c:strCache>
            </c:strRef>
          </c:cat>
          <c:val>
            <c:numRef>
              <c:f>'Supporting Schedules'!$C$184:$C$189</c:f>
              <c:numCache>
                <c:formatCode>_("$"* #,##0.00_);_("$"* \(#,##0.00\);_("$"* "-"??_);_(@_)</c:formatCode>
                <c:ptCount val="6"/>
                <c:pt idx="0">
                  <c:v>57.813736546974255</c:v>
                </c:pt>
                <c:pt idx="1">
                  <c:v>29.981538461538459</c:v>
                </c:pt>
                <c:pt idx="2">
                  <c:v>20.578250696995088</c:v>
                </c:pt>
                <c:pt idx="3">
                  <c:v>7.1014370239542242</c:v>
                </c:pt>
                <c:pt idx="4">
                  <c:v>32.71153846153846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2-432D-BBA2-147B0C4A4C91}"/>
            </c:ext>
          </c:extLst>
        </c:ser>
        <c:ser>
          <c:idx val="1"/>
          <c:order val="1"/>
          <c:tx>
            <c:strRef>
              <c:f>'Supporting Schedules'!$D$183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'Supporting Schedules'!$B$184:$B$189</c:f>
              <c:strCache>
                <c:ptCount val="6"/>
                <c:pt idx="0">
                  <c:v>DCF: Perpetuity Growth</c:v>
                </c:pt>
                <c:pt idx="1">
                  <c:v>Comps: P/E</c:v>
                </c:pt>
                <c:pt idx="2">
                  <c:v>Comps: EV/EBITDA</c:v>
                </c:pt>
                <c:pt idx="3">
                  <c:v>PTA: TV/Revenue</c:v>
                </c:pt>
                <c:pt idx="4">
                  <c:v>PTA: Offer Price/EPS</c:v>
                </c:pt>
                <c:pt idx="5">
                  <c:v>Analyst Targets</c:v>
                </c:pt>
              </c:strCache>
            </c:strRef>
          </c:cat>
          <c:val>
            <c:numRef>
              <c:f>'Supporting Schedules'!$D$184:$D$189</c:f>
              <c:numCache>
                <c:formatCode>_("$"* #,##0.00_);_("$"* \(#,##0.00\);_("$"* "-"??_);_(@_)</c:formatCode>
                <c:ptCount val="6"/>
                <c:pt idx="0">
                  <c:v>21.356502113590366</c:v>
                </c:pt>
                <c:pt idx="1">
                  <c:v>26.260147631152297</c:v>
                </c:pt>
                <c:pt idx="2">
                  <c:v>27.566103775405129</c:v>
                </c:pt>
                <c:pt idx="3">
                  <c:v>127.89764910972661</c:v>
                </c:pt>
                <c:pt idx="4">
                  <c:v>48.28846153846154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A2-432D-BBA2-147B0C4A4C91}"/>
            </c:ext>
          </c:extLst>
        </c:ser>
        <c:ser>
          <c:idx val="2"/>
          <c:order val="2"/>
          <c:tx>
            <c:strRef>
              <c:f>'Supporting Schedules'!$E$183</c:f>
              <c:strCache>
                <c:ptCount val="1"/>
                <c:pt idx="0">
                  <c:v>High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'Supporting Schedules'!$B$184:$B$189</c:f>
              <c:strCache>
                <c:ptCount val="6"/>
                <c:pt idx="0">
                  <c:v>DCF: Perpetuity Growth</c:v>
                </c:pt>
                <c:pt idx="1">
                  <c:v>Comps: P/E</c:v>
                </c:pt>
                <c:pt idx="2">
                  <c:v>Comps: EV/EBITDA</c:v>
                </c:pt>
                <c:pt idx="3">
                  <c:v>PTA: TV/Revenue</c:v>
                </c:pt>
                <c:pt idx="4">
                  <c:v>PTA: Offer Price/EPS</c:v>
                </c:pt>
                <c:pt idx="5">
                  <c:v>Analyst Targets</c:v>
                </c:pt>
              </c:strCache>
            </c:strRef>
          </c:cat>
          <c:val>
            <c:numRef>
              <c:f>'Supporting Schedules'!$E$184:$E$189</c:f>
              <c:numCache>
                <c:formatCode>_("$"* #,##0.00_);_("$"* \(#,##0.00\);_("$"* "-"??_);_(@_)</c:formatCode>
                <c:ptCount val="6"/>
                <c:pt idx="0">
                  <c:v>79.170238660564621</c:v>
                </c:pt>
                <c:pt idx="1">
                  <c:v>56.241686092690756</c:v>
                </c:pt>
                <c:pt idx="2">
                  <c:v>48.144354472400217</c:v>
                </c:pt>
                <c:pt idx="3">
                  <c:v>134.99908613368083</c:v>
                </c:pt>
                <c:pt idx="4">
                  <c:v>81</c:v>
                </c:pt>
                <c:pt idx="5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A2-432D-BBA2-147B0C4A4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1361167"/>
        <c:axId val="1081369807"/>
      </c:barChart>
      <c:catAx>
        <c:axId val="1081361167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081369807"/>
        <c:crosses val="autoZero"/>
        <c:auto val="1"/>
        <c:lblAlgn val="ctr"/>
        <c:lblOffset val="100"/>
        <c:noMultiLvlLbl val="0"/>
      </c:catAx>
      <c:valAx>
        <c:axId val="1081369807"/>
        <c:scaling>
          <c:orientation val="minMax"/>
          <c:max val="180"/>
          <c:min val="-20"/>
        </c:scaling>
        <c:delete val="0"/>
        <c:axPos val="t"/>
        <c:numFmt formatCode="_(&quot;$&quot;* #,##0_);_(&quot;$&quot;* \(#,##0\);_(&quot;$&quot;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08136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US"/>
              <a:t>EV/EBITDA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'Comparables '!$C$58</c:f>
              <c:strCache>
                <c:ptCount val="1"/>
                <c:pt idx="0">
                  <c:v>EV/EBITDA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CB-484F-8A04-A386501768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'Comparables '!$B$60:$B$66</c:f>
              <c:strCache>
                <c:ptCount val="7"/>
                <c:pt idx="0">
                  <c:v>Adidas</c:v>
                </c:pt>
                <c:pt idx="1">
                  <c:v>On</c:v>
                </c:pt>
                <c:pt idx="2">
                  <c:v>Deckers Outdoor Corporation</c:v>
                </c:pt>
                <c:pt idx="3">
                  <c:v>Asics</c:v>
                </c:pt>
                <c:pt idx="4">
                  <c:v>Under Armour</c:v>
                </c:pt>
                <c:pt idx="5">
                  <c:v>Puma</c:v>
                </c:pt>
                <c:pt idx="6">
                  <c:v>Nike Inc</c:v>
                </c:pt>
              </c:strCache>
            </c:strRef>
          </c:cat>
          <c:val>
            <c:numRef>
              <c:f>'Comparables '!$C$60:$C$66</c:f>
              <c:numCache>
                <c:formatCode>0.00\x;\(0.00\)\x;"N/A"</c:formatCode>
                <c:ptCount val="7"/>
                <c:pt idx="0">
                  <c:v>8.0791367848509257</c:v>
                </c:pt>
                <c:pt idx="1">
                  <c:v>17.769556428323899</c:v>
                </c:pt>
                <c:pt idx="2">
                  <c:v>11.052246090534979</c:v>
                </c:pt>
                <c:pt idx="3">
                  <c:v>14.543808724832216</c:v>
                </c:pt>
                <c:pt idx="4">
                  <c:v>15.262385321100917</c:v>
                </c:pt>
                <c:pt idx="5">
                  <c:v>13.124015748031496</c:v>
                </c:pt>
                <c:pt idx="6">
                  <c:v>21.937217598097504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B-484F-8A04-A386501768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532853967"/>
        <c:axId val="532840047"/>
      </c:barChart>
      <c:catAx>
        <c:axId val="53285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532840047"/>
        <c:crosses val="autoZero"/>
        <c:auto val="1"/>
        <c:lblAlgn val="ctr"/>
        <c:lblOffset val="100"/>
        <c:noMultiLvlLbl val="0"/>
      </c:catAx>
      <c:valAx>
        <c:axId val="532840047"/>
        <c:scaling>
          <c:orientation val="minMax"/>
        </c:scaling>
        <c:delete val="1"/>
        <c:axPos val="l"/>
        <c:numFmt formatCode="0.00\x;\(0.00\)\x;&quot;N/A&quot;" sourceLinked="1"/>
        <c:majorTickMark val="none"/>
        <c:minorTickMark val="none"/>
        <c:tickLblPos val="nextTo"/>
        <c:crossAx val="53285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US"/>
              <a:t>P/E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'Comparables '!$D$58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62-49FD-8F96-72C6B1CAC2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'Comparables '!$B$60:$B$66</c:f>
              <c:strCache>
                <c:ptCount val="7"/>
                <c:pt idx="0">
                  <c:v>Adidas</c:v>
                </c:pt>
                <c:pt idx="1">
                  <c:v>On</c:v>
                </c:pt>
                <c:pt idx="2">
                  <c:v>Deckers Outdoor Corporation</c:v>
                </c:pt>
                <c:pt idx="3">
                  <c:v>Asics</c:v>
                </c:pt>
                <c:pt idx="4">
                  <c:v>Under Armour</c:v>
                </c:pt>
                <c:pt idx="5">
                  <c:v>Puma</c:v>
                </c:pt>
                <c:pt idx="6">
                  <c:v>Nike Inc</c:v>
                </c:pt>
              </c:strCache>
            </c:strRef>
          </c:cat>
          <c:val>
            <c:numRef>
              <c:f>'Comparables '!$D$60:$D$66</c:f>
              <c:numCache>
                <c:formatCode>0.00\x;\(0.00\)\x;"N/A"</c:formatCode>
                <c:ptCount val="7"/>
                <c:pt idx="0">
                  <c:v>16.794960903562121</c:v>
                </c:pt>
                <c:pt idx="1">
                  <c:v>29.292544839943105</c:v>
                </c:pt>
                <c:pt idx="2">
                  <c:v>15.615384615384615</c:v>
                </c:pt>
                <c:pt idx="3">
                  <c:v>25.536378299120237</c:v>
                </c:pt>
                <c:pt idx="4">
                  <c:v>0</c:v>
                </c:pt>
                <c:pt idx="5">
                  <c:v>0</c:v>
                </c:pt>
                <c:pt idx="6">
                  <c:v>30.578125000000004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2-49FD-8F96-72C6B1CAC2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262853472"/>
        <c:axId val="1262837152"/>
      </c:barChart>
      <c:catAx>
        <c:axId val="126285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262837152"/>
        <c:crosses val="autoZero"/>
        <c:auto val="1"/>
        <c:lblAlgn val="ctr"/>
        <c:lblOffset val="100"/>
        <c:noMultiLvlLbl val="0"/>
      </c:catAx>
      <c:valAx>
        <c:axId val="1262837152"/>
        <c:scaling>
          <c:orientation val="minMax"/>
        </c:scaling>
        <c:delete val="1"/>
        <c:axPos val="l"/>
        <c:numFmt formatCode="0.00\x;\(0.00\)\x;&quot;N/A&quot;" sourceLinked="1"/>
        <c:majorTickMark val="none"/>
        <c:minorTickMark val="none"/>
        <c:tickLblPos val="nextTo"/>
        <c:crossAx val="126285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1136063</xdr:colOff>
      <xdr:row>30</xdr:row>
      <xdr:rowOff>183520</xdr:rowOff>
    </xdr:from>
    <xdr:to>
      <xdr:col>3</xdr:col>
      <xdr:colOff>493126</xdr:colOff>
      <xdr:row>33</xdr:row>
      <xdr:rowOff>93254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9D96F3-4743-4BB7-8DB7-D0CE13537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2213" y="6117595"/>
          <a:ext cx="2147888" cy="490759"/>
        </a:xfrm>
        <a:prstGeom prst="rect">
          <a:avLst/>
        </a:prstGeom>
      </xdr:spPr>
    </xdr:pic>
    <xdr:clientData/>
  </xdr:twoCellAnchor>
  <xdr:twoCellAnchor editAs="oneCell">
    <xdr:from>
      <xdr:col>2</xdr:col>
      <xdr:colOff>269166</xdr:colOff>
      <xdr:row>36</xdr:row>
      <xdr:rowOff>5948</xdr:rowOff>
    </xdr:from>
    <xdr:to>
      <xdr:col>3</xdr:col>
      <xdr:colOff>54853</xdr:colOff>
      <xdr:row>37</xdr:row>
      <xdr:rowOff>148824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5C8F46-A152-4A7E-BC97-53F496DDA1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402" b="43756"/>
        <a:stretch/>
      </xdr:blipFill>
      <xdr:spPr>
        <a:xfrm>
          <a:off x="3755316" y="7121123"/>
          <a:ext cx="2576512" cy="342901"/>
        </a:xfrm>
        <a:prstGeom prst="rect">
          <a:avLst/>
        </a:prstGeom>
      </xdr:spPr>
    </xdr:pic>
    <xdr:clientData/>
  </xdr:twoCellAnchor>
  <xdr:twoCellAnchor editAs="oneCell">
    <xdr:from>
      <xdr:col>3</xdr:col>
      <xdr:colOff>1466815</xdr:colOff>
      <xdr:row>30</xdr:row>
      <xdr:rowOff>64262</xdr:rowOff>
    </xdr:from>
    <xdr:to>
      <xdr:col>3</xdr:col>
      <xdr:colOff>2607472</xdr:colOff>
      <xdr:row>34</xdr:row>
      <xdr:rowOff>10107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D1553F-6572-47AB-836B-06104E5AE4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7743790" y="5998337"/>
          <a:ext cx="1140657" cy="726895"/>
        </a:xfrm>
        <a:prstGeom prst="rect">
          <a:avLst/>
        </a:prstGeom>
      </xdr:spPr>
    </xdr:pic>
    <xdr:clientData/>
  </xdr:twoCellAnchor>
  <xdr:twoCellAnchor editAs="oneCell">
    <xdr:from>
      <xdr:col>1</xdr:col>
      <xdr:colOff>235686</xdr:colOff>
      <xdr:row>35</xdr:row>
      <xdr:rowOff>48486</xdr:rowOff>
    </xdr:from>
    <xdr:to>
      <xdr:col>1</xdr:col>
      <xdr:colOff>2347119</xdr:colOff>
      <xdr:row>38</xdr:row>
      <xdr:rowOff>118192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B288CE-BD04-4B10-A140-96AD9B042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011" y="6963636"/>
          <a:ext cx="2111433" cy="660256"/>
        </a:xfrm>
        <a:prstGeom prst="rect">
          <a:avLst/>
        </a:prstGeom>
      </xdr:spPr>
    </xdr:pic>
    <xdr:clientData/>
  </xdr:twoCellAnchor>
  <xdr:twoCellAnchor editAs="oneCell">
    <xdr:from>
      <xdr:col>3</xdr:col>
      <xdr:colOff>739150</xdr:colOff>
      <xdr:row>35</xdr:row>
      <xdr:rowOff>89292</xdr:rowOff>
    </xdr:from>
    <xdr:to>
      <xdr:col>3</xdr:col>
      <xdr:colOff>2583659</xdr:colOff>
      <xdr:row>38</xdr:row>
      <xdr:rowOff>77386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6A8FE0-EA3C-4E53-9AAB-0E86F54C57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588" b="24350"/>
        <a:stretch/>
      </xdr:blipFill>
      <xdr:spPr>
        <a:xfrm>
          <a:off x="7016125" y="7004442"/>
          <a:ext cx="1844509" cy="578644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238124</xdr:colOff>
      <xdr:row>31</xdr:row>
      <xdr:rowOff>69249</xdr:rowOff>
    </xdr:from>
    <xdr:to>
      <xdr:col>2</xdr:col>
      <xdr:colOff>162375</xdr:colOff>
      <xdr:row>33</xdr:row>
      <xdr:rowOff>17025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FA38A6-FAC5-42C1-8B71-E8942EE47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49" y="6193824"/>
          <a:ext cx="2715076" cy="338301"/>
        </a:xfrm>
        <a:prstGeom prst="rect">
          <a:avLst/>
        </a:prstGeom>
      </xdr:spPr>
    </xdr:pic>
    <xdr:clientData/>
  </xdr:twoCellAnchor>
  <xdr:twoCellAnchor editAs="oneCell">
    <xdr:from>
      <xdr:col>1</xdr:col>
      <xdr:colOff>2162136</xdr:colOff>
      <xdr:row>21</xdr:row>
      <xdr:rowOff>56642</xdr:rowOff>
    </xdr:from>
    <xdr:to>
      <xdr:col>3</xdr:col>
      <xdr:colOff>767358</xdr:colOff>
      <xdr:row>24</xdr:row>
      <xdr:rowOff>13026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11BA57-5BC1-4BE1-A71D-77ACC6A7F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61" y="4228592"/>
          <a:ext cx="4186872" cy="527884"/>
        </a:xfrm>
        <a:prstGeom prst="rect">
          <a:avLst/>
        </a:prstGeom>
      </xdr:spPr>
    </xdr:pic>
    <xdr:clientData/>
  </xdr:twoCellAnchor>
  <xdr:twoCellAnchor editAs="oneCell">
    <xdr:from>
      <xdr:col>1</xdr:col>
      <xdr:colOff>2692098</xdr:colOff>
      <xdr:row>8</xdr:row>
      <xdr:rowOff>40160</xdr:rowOff>
    </xdr:from>
    <xdr:to>
      <xdr:col>3</xdr:col>
      <xdr:colOff>237396</xdr:colOff>
      <xdr:row>12</xdr:row>
      <xdr:rowOff>171821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B073F19-0A2D-4DD0-8A16-A1AC7DB94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7423" y="1678460"/>
          <a:ext cx="3126948" cy="8936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529167</xdr:colOff>
      <xdr:row>125</xdr:row>
      <xdr:rowOff>66914</xdr:rowOff>
    </xdr:from>
    <xdr:to>
      <xdr:col>19</xdr:col>
      <xdr:colOff>947057</xdr:colOff>
      <xdr:row>149</xdr:row>
      <xdr:rowOff>98665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85D4C7-3AE3-32FD-01AD-429428C7A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142</xdr:row>
      <xdr:rowOff>4</xdr:rowOff>
    </xdr:from>
    <xdr:to>
      <xdr:col>8</xdr:col>
      <xdr:colOff>306916</xdr:colOff>
      <xdr:row>149</xdr:row>
      <xdr:rowOff>59107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CB0F75-A26E-3865-60F2-82B51EF3E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158750</xdr:colOff>
      <xdr:row>134</xdr:row>
      <xdr:rowOff>31749</xdr:rowOff>
    </xdr:from>
    <xdr:to>
      <xdr:col>8</xdr:col>
      <xdr:colOff>338667</xdr:colOff>
      <xdr:row>141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BF4C72-33A0-664A-D91E-957220678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105833</xdr:colOff>
      <xdr:row>125</xdr:row>
      <xdr:rowOff>42333</xdr:rowOff>
    </xdr:from>
    <xdr:to>
      <xdr:col>8</xdr:col>
      <xdr:colOff>325967</xdr:colOff>
      <xdr:row>133</xdr:row>
      <xdr:rowOff>75237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683949-DCC0-2EFD-9DB9-A2580A40F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392430</xdr:colOff>
      <xdr:row>152</xdr:row>
      <xdr:rowOff>190500</xdr:rowOff>
    </xdr:from>
    <xdr:to>
      <xdr:col>10</xdr:col>
      <xdr:colOff>270510</xdr:colOff>
      <xdr:row>167</xdr:row>
      <xdr:rowOff>160020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D2C546FC-5915-45E7-9356-0476FBB06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331470</xdr:colOff>
      <xdr:row>171</xdr:row>
      <xdr:rowOff>53340</xdr:rowOff>
    </xdr:from>
    <xdr:to>
      <xdr:col>12</xdr:col>
      <xdr:colOff>209550</xdr:colOff>
      <xdr:row>185</xdr:row>
      <xdr:rowOff>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E1374B3E-08CA-47A0-999B-04D2678DF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77756</xdr:colOff>
      <xdr:row>67</xdr:row>
      <xdr:rowOff>79741</xdr:rowOff>
    </xdr:from>
    <xdr:to>
      <xdr:col>3</xdr:col>
      <xdr:colOff>481708</xdr:colOff>
      <xdr:row>79</xdr:row>
      <xdr:rowOff>77756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3DD46535-548F-F1F9-9626-6AB55B939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746221</xdr:colOff>
      <xdr:row>67</xdr:row>
      <xdr:rowOff>67499</xdr:rowOff>
    </xdr:from>
    <xdr:to>
      <xdr:col>6</xdr:col>
      <xdr:colOff>1159353</xdr:colOff>
      <xdr:row>79</xdr:row>
      <xdr:rowOff>46654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A5516F9-8E06-76A8-0753-506CB1D35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pjp9_student_ubc_ca/Documents/Models/SCMC%202026%20-%20Valuation%20Package_PatrickAttem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structions"/>
      <sheetName val="Financial Statements"/>
      <sheetName val="DCF Valuation"/>
      <sheetName val="Supporting Schedules"/>
      <sheetName val="Precedents"/>
    </sheetNames>
    <sheetDataSet>
      <sheetData sheetId="0">
        <row r="2">
          <cell r="C2" t="str">
            <v>Nike Inc</v>
          </cell>
        </row>
        <row r="3">
          <cell r="C3" t="str">
            <v>NYSE: NKE</v>
          </cell>
        </row>
        <row r="4">
          <cell r="C4">
            <v>58.71</v>
          </cell>
        </row>
      </sheetData>
      <sheetData sheetId="1"/>
      <sheetData sheetId="2"/>
      <sheetData sheetId="3">
        <row r="19">
          <cell r="C19">
            <v>0</v>
          </cell>
        </row>
        <row r="21">
          <cell r="C21">
            <v>0</v>
          </cell>
        </row>
        <row r="24">
          <cell r="C24">
            <v>0</v>
          </cell>
        </row>
        <row r="25">
          <cell r="C25" t="str">
            <v/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E245-21A5-4A61-930C-5D1440A0503A}">
  <dimension ref="A1:K42"/>
  <sheetViews>
    <sheetView showGridLines="0" topLeftCell="A7" zoomScale="46" zoomScaleNormal="80" workbookViewId="0">
      <selection activeCell="E11" sqref="E11"/>
    </sheetView>
  </sheetViews>
  <sheetFormatPr defaultColWidth="0" defaultRowHeight="15" customHeight="1" zeroHeight="1"/>
  <cols>
    <col min="1" max="1" width="9.19921875" style="1" customWidth="1"/>
    <col min="2" max="4" width="36.69921875" style="1" customWidth="1"/>
    <col min="5" max="5" width="9.19921875" style="1" customWidth="1"/>
    <col min="6" max="6" width="9.19921875" style="1" hidden="1" customWidth="1"/>
    <col min="7" max="11" width="9" style="1" hidden="1" customWidth="1"/>
    <col min="12" max="16384" width="9" style="1" hidden="1"/>
  </cols>
  <sheetData>
    <row r="1" spans="2:5"/>
    <row r="2" spans="2:5">
      <c r="B2" s="1" t="s">
        <v>0</v>
      </c>
      <c r="C2" s="2" t="s">
        <v>1</v>
      </c>
    </row>
    <row r="3" spans="2:5">
      <c r="B3" s="1" t="s">
        <v>2</v>
      </c>
      <c r="C3" s="2" t="s">
        <v>3</v>
      </c>
    </row>
    <row r="4" spans="2:5">
      <c r="B4" s="1" t="s">
        <v>4</v>
      </c>
      <c r="C4" s="3">
        <v>60</v>
      </c>
    </row>
    <row r="5" spans="2:5">
      <c r="B5" s="1" t="s">
        <v>5</v>
      </c>
      <c r="C5" s="2" t="s">
        <v>393</v>
      </c>
    </row>
    <row r="6" spans="2:5" ht="15.6" thickBot="1"/>
    <row r="7" spans="2:5" ht="22.8">
      <c r="B7" s="4" t="str">
        <f>company&amp;" – Financial Model"</f>
        <v>Nike – Financial Model</v>
      </c>
      <c r="C7" s="5"/>
      <c r="D7" s="6"/>
    </row>
    <row r="8" spans="2:5">
      <c r="B8" s="7"/>
      <c r="D8" s="8"/>
    </row>
    <row r="9" spans="2:5">
      <c r="B9" s="7"/>
      <c r="D9" s="8"/>
    </row>
    <row r="10" spans="2:5">
      <c r="B10" s="7"/>
      <c r="D10" s="8"/>
      <c r="E10" s="492"/>
    </row>
    <row r="11" spans="2:5">
      <c r="B11" s="7"/>
      <c r="D11" s="8"/>
    </row>
    <row r="12" spans="2:5">
      <c r="B12" s="7"/>
      <c r="D12" s="8"/>
    </row>
    <row r="13" spans="2:5">
      <c r="B13" s="7"/>
      <c r="D13" s="8"/>
    </row>
    <row r="14" spans="2:5">
      <c r="B14" s="7"/>
      <c r="D14" s="8"/>
    </row>
    <row r="15" spans="2:5" ht="15.6">
      <c r="B15" s="495" t="s">
        <v>6</v>
      </c>
      <c r="C15" s="496"/>
      <c r="D15" s="497"/>
    </row>
    <row r="16" spans="2:5" ht="15.6">
      <c r="B16" s="9"/>
      <c r="C16" s="10" t="s">
        <v>7</v>
      </c>
      <c r="D16" s="11"/>
    </row>
    <row r="17" spans="2:4">
      <c r="B17" s="498">
        <f ca="1">TODAY()</f>
        <v>46022</v>
      </c>
      <c r="C17" s="499"/>
      <c r="D17" s="500"/>
    </row>
    <row r="18" spans="2:4">
      <c r="B18" s="7"/>
      <c r="D18" s="8"/>
    </row>
    <row r="19" spans="2:4" ht="17.399999999999999">
      <c r="B19" s="501" t="s">
        <v>8</v>
      </c>
      <c r="C19" s="502"/>
      <c r="D19" s="503"/>
    </row>
    <row r="20" spans="2:4">
      <c r="B20" s="7"/>
      <c r="D20" s="8"/>
    </row>
    <row r="21" spans="2:4">
      <c r="B21" s="7"/>
      <c r="D21" s="8"/>
    </row>
    <row r="22" spans="2:4">
      <c r="B22" s="7"/>
      <c r="D22" s="8"/>
    </row>
    <row r="23" spans="2:4">
      <c r="B23" s="7"/>
      <c r="D23" s="8"/>
    </row>
    <row r="24" spans="2:4">
      <c r="B24" s="7"/>
      <c r="D24" s="8"/>
    </row>
    <row r="25" spans="2:4">
      <c r="B25" s="7"/>
      <c r="D25" s="8"/>
    </row>
    <row r="26" spans="2:4">
      <c r="B26" s="7"/>
      <c r="D26" s="8"/>
    </row>
    <row r="27" spans="2:4" ht="15.6">
      <c r="B27" s="504" t="s">
        <v>9</v>
      </c>
      <c r="C27" s="505"/>
      <c r="D27" s="506"/>
    </row>
    <row r="28" spans="2:4">
      <c r="B28" s="7"/>
      <c r="D28" s="8"/>
    </row>
    <row r="29" spans="2:4" ht="17.399999999999999">
      <c r="B29" s="501" t="s">
        <v>10</v>
      </c>
      <c r="C29" s="502"/>
      <c r="D29" s="503"/>
    </row>
    <row r="30" spans="2:4">
      <c r="B30" s="7"/>
      <c r="D30" s="8"/>
    </row>
    <row r="31" spans="2:4">
      <c r="B31" s="7"/>
      <c r="D31" s="8"/>
    </row>
    <row r="32" spans="2:4">
      <c r="B32" s="7"/>
      <c r="D32" s="8"/>
    </row>
    <row r="33" spans="2:11" ht="15.6">
      <c r="B33" s="7"/>
      <c r="D33" s="12"/>
    </row>
    <row r="34" spans="2:11" ht="15.6">
      <c r="B34" s="7"/>
      <c r="D34" s="12"/>
    </row>
    <row r="35" spans="2:11" ht="15.6">
      <c r="B35" s="7"/>
      <c r="D35" s="8"/>
      <c r="E35"/>
    </row>
    <row r="36" spans="2:11" ht="15.6">
      <c r="B36" s="7"/>
      <c r="D36" s="8"/>
      <c r="E36"/>
      <c r="K36"/>
    </row>
    <row r="37" spans="2:11" ht="15.6">
      <c r="B37" s="7"/>
      <c r="D37" s="12"/>
    </row>
    <row r="38" spans="2:11">
      <c r="B38" s="7"/>
      <c r="D38" s="8"/>
    </row>
    <row r="39" spans="2:11">
      <c r="B39" s="7"/>
      <c r="D39" s="8"/>
    </row>
    <row r="40" spans="2:11" ht="15.6" thickBot="1">
      <c r="B40" s="13"/>
      <c r="C40" s="14"/>
      <c r="D40" s="15"/>
    </row>
    <row r="41" spans="2:11"/>
    <row r="42" spans="2:11"/>
  </sheetData>
  <mergeCells count="5">
    <mergeCell ref="B15:D15"/>
    <mergeCell ref="B17:D17"/>
    <mergeCell ref="B19:D19"/>
    <mergeCell ref="B27:D27"/>
    <mergeCell ref="B29:D29"/>
  </mergeCells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618A-8ED9-4E38-B8D3-0624FE75BED2}">
  <dimension ref="A1:S63"/>
  <sheetViews>
    <sheetView showGridLines="0" tabSelected="1" topLeftCell="A13" zoomScale="80" zoomScaleNormal="80" workbookViewId="0">
      <selection activeCell="F28" sqref="F28"/>
    </sheetView>
  </sheetViews>
  <sheetFormatPr defaultColWidth="0" defaultRowHeight="13.8" zeroHeight="1"/>
  <cols>
    <col min="1" max="1" width="2.5" style="20" customWidth="1"/>
    <col min="2" max="2" width="10.69921875" style="17" customWidth="1"/>
    <col min="3" max="3" width="28" style="17" customWidth="1"/>
    <col min="4" max="4" width="15" style="17" bestFit="1" customWidth="1"/>
    <col min="5" max="15" width="10.69921875" style="17" customWidth="1"/>
    <col min="16" max="16384" width="10.69921875" style="17" hidden="1"/>
  </cols>
  <sheetData>
    <row r="1" spans="1:19" s="33" customFormat="1" ht="17.399999999999999">
      <c r="B1" s="32" t="s">
        <v>6</v>
      </c>
      <c r="R1" s="34"/>
      <c r="S1" s="34"/>
    </row>
    <row r="2" spans="1:19" s="33" customFormat="1" ht="17.399999999999999">
      <c r="B2" s="32" t="str">
        <f>company</f>
        <v>Nike</v>
      </c>
      <c r="R2" s="34"/>
      <c r="S2" s="34"/>
    </row>
    <row r="3" spans="1:19" s="33" customFormat="1" ht="17.399999999999999">
      <c r="B3" s="32" t="s">
        <v>11</v>
      </c>
      <c r="R3" s="34"/>
      <c r="S3" s="34"/>
    </row>
    <row r="4" spans="1:19" s="33" customFormat="1" ht="17.399999999999999">
      <c r="B4" s="32" t="s">
        <v>12</v>
      </c>
      <c r="C4" s="35"/>
      <c r="D4" s="35"/>
      <c r="E4" s="35"/>
      <c r="F4" s="35"/>
      <c r="R4" s="34"/>
      <c r="S4" s="34"/>
    </row>
    <row r="5" spans="1:19" ht="17.399999999999999">
      <c r="A5" s="16"/>
    </row>
    <row r="6" spans="1:19" s="19" customFormat="1">
      <c r="A6" s="18"/>
      <c r="B6" s="19" t="s">
        <v>13</v>
      </c>
    </row>
    <row r="7" spans="1:19"/>
    <row r="8" spans="1:19">
      <c r="B8" s="21">
        <v>1</v>
      </c>
      <c r="C8" s="17" t="s">
        <v>14</v>
      </c>
    </row>
    <row r="9" spans="1:19">
      <c r="B9" s="21">
        <f>B8+1</f>
        <v>2</v>
      </c>
      <c r="C9" s="17" t="s">
        <v>15</v>
      </c>
    </row>
    <row r="10" spans="1:19">
      <c r="B10" s="21">
        <f t="shared" ref="B10:B14" si="0">B9+1</f>
        <v>3</v>
      </c>
      <c r="C10" s="17" t="s">
        <v>16</v>
      </c>
    </row>
    <row r="11" spans="1:19">
      <c r="B11" s="21">
        <f t="shared" si="0"/>
        <v>4</v>
      </c>
      <c r="C11" s="17" t="s">
        <v>17</v>
      </c>
    </row>
    <row r="12" spans="1:19">
      <c r="B12" s="21">
        <f t="shared" si="0"/>
        <v>5</v>
      </c>
      <c r="C12" s="17" t="s">
        <v>18</v>
      </c>
    </row>
    <row r="13" spans="1:19">
      <c r="B13" s="21">
        <f t="shared" si="0"/>
        <v>6</v>
      </c>
      <c r="C13" s="17" t="s">
        <v>19</v>
      </c>
    </row>
    <row r="14" spans="1:19">
      <c r="B14" s="21">
        <f t="shared" si="0"/>
        <v>7</v>
      </c>
      <c r="C14" s="17" t="s">
        <v>20</v>
      </c>
    </row>
    <row r="15" spans="1:19"/>
    <row r="16" spans="1:19"/>
    <row r="17" spans="1:3" s="19" customFormat="1">
      <c r="A17" s="18"/>
      <c r="B17" s="19" t="s">
        <v>21</v>
      </c>
    </row>
    <row r="18" spans="1:3"/>
    <row r="19" spans="1:3">
      <c r="B19" s="21">
        <v>1</v>
      </c>
      <c r="C19" s="17" t="s">
        <v>22</v>
      </c>
    </row>
    <row r="20" spans="1:3">
      <c r="B20" s="21">
        <f>B19+1</f>
        <v>2</v>
      </c>
      <c r="C20" s="17" t="s">
        <v>23</v>
      </c>
    </row>
    <row r="21" spans="1:3">
      <c r="B21" s="21">
        <f t="shared" ref="B21:B31" si="1">B20+1</f>
        <v>3</v>
      </c>
      <c r="C21" s="17" t="s">
        <v>24</v>
      </c>
    </row>
    <row r="22" spans="1:3">
      <c r="B22" s="21">
        <f t="shared" si="1"/>
        <v>4</v>
      </c>
      <c r="C22" s="17" t="s">
        <v>25</v>
      </c>
    </row>
    <row r="23" spans="1:3">
      <c r="B23" s="21">
        <f t="shared" si="1"/>
        <v>5</v>
      </c>
      <c r="C23" s="17" t="s">
        <v>26</v>
      </c>
    </row>
    <row r="24" spans="1:3">
      <c r="B24" s="21">
        <f t="shared" si="1"/>
        <v>6</v>
      </c>
      <c r="C24" s="17" t="s">
        <v>27</v>
      </c>
    </row>
    <row r="25" spans="1:3">
      <c r="B25" s="21">
        <f t="shared" si="1"/>
        <v>7</v>
      </c>
      <c r="C25" s="17" t="s">
        <v>28</v>
      </c>
    </row>
    <row r="26" spans="1:3">
      <c r="B26" s="21">
        <f t="shared" si="1"/>
        <v>8</v>
      </c>
      <c r="C26" s="17" t="s">
        <v>29</v>
      </c>
    </row>
    <row r="27" spans="1:3">
      <c r="B27" s="21">
        <f t="shared" si="1"/>
        <v>9</v>
      </c>
      <c r="C27" s="17" t="s">
        <v>30</v>
      </c>
    </row>
    <row r="28" spans="1:3">
      <c r="B28" s="21">
        <f t="shared" si="1"/>
        <v>10</v>
      </c>
      <c r="C28" s="17" t="s">
        <v>31</v>
      </c>
    </row>
    <row r="29" spans="1:3">
      <c r="B29" s="21">
        <f t="shared" si="1"/>
        <v>11</v>
      </c>
      <c r="C29" s="17" t="s">
        <v>32</v>
      </c>
    </row>
    <row r="30" spans="1:3">
      <c r="B30" s="21">
        <f t="shared" si="1"/>
        <v>12</v>
      </c>
      <c r="C30" s="17" t="s">
        <v>33</v>
      </c>
    </row>
    <row r="31" spans="1:3">
      <c r="B31" s="21">
        <f t="shared" si="1"/>
        <v>13</v>
      </c>
      <c r="C31" s="17" t="s">
        <v>34</v>
      </c>
    </row>
    <row r="32" spans="1:3"/>
    <row r="33" spans="1:4"/>
    <row r="34" spans="1:4" s="19" customFormat="1">
      <c r="A34" s="18"/>
      <c r="B34" s="19" t="s">
        <v>35</v>
      </c>
    </row>
    <row r="35" spans="1:4"/>
    <row r="36" spans="1:4">
      <c r="B36" s="21">
        <v>1</v>
      </c>
      <c r="C36" s="17" t="s">
        <v>36</v>
      </c>
    </row>
    <row r="37" spans="1:4">
      <c r="B37" s="21">
        <f>B36+1</f>
        <v>2</v>
      </c>
      <c r="C37" s="17" t="s">
        <v>37</v>
      </c>
    </row>
    <row r="38" spans="1:4">
      <c r="B38" s="21">
        <f t="shared" ref="B38:B41" si="2">B37+1</f>
        <v>3</v>
      </c>
      <c r="C38" s="17" t="s">
        <v>38</v>
      </c>
    </row>
    <row r="39" spans="1:4">
      <c r="B39" s="21">
        <f t="shared" si="2"/>
        <v>4</v>
      </c>
      <c r="C39" s="17" t="s">
        <v>39</v>
      </c>
    </row>
    <row r="40" spans="1:4">
      <c r="B40" s="21">
        <f t="shared" si="2"/>
        <v>5</v>
      </c>
      <c r="C40" s="17" t="s">
        <v>40</v>
      </c>
    </row>
    <row r="41" spans="1:4">
      <c r="B41" s="21">
        <f t="shared" si="2"/>
        <v>6</v>
      </c>
      <c r="C41" s="17" t="s">
        <v>41</v>
      </c>
    </row>
    <row r="42" spans="1:4"/>
    <row r="43" spans="1:4"/>
    <row r="44" spans="1:4" s="19" customFormat="1">
      <c r="A44" s="18"/>
      <c r="B44" s="19" t="s">
        <v>42</v>
      </c>
    </row>
    <row r="45" spans="1:4"/>
    <row r="46" spans="1:4">
      <c r="B46" s="22" t="s">
        <v>43</v>
      </c>
      <c r="C46" s="23"/>
      <c r="D46" s="23"/>
    </row>
    <row r="47" spans="1:4" ht="4.95" customHeight="1">
      <c r="B47" s="24"/>
      <c r="C47" s="25"/>
      <c r="D47" s="25"/>
    </row>
    <row r="48" spans="1:4">
      <c r="B48" s="389" t="s">
        <v>44</v>
      </c>
      <c r="C48" s="389" t="s">
        <v>45</v>
      </c>
      <c r="D48" s="389" t="s">
        <v>46</v>
      </c>
    </row>
    <row r="49" spans="2:4">
      <c r="B49" s="26" t="s">
        <v>47</v>
      </c>
      <c r="C49" s="27" t="s">
        <v>48</v>
      </c>
      <c r="D49" s="27" t="s">
        <v>49</v>
      </c>
    </row>
    <row r="50" spans="2:4">
      <c r="B50" s="27" t="s">
        <v>50</v>
      </c>
      <c r="C50" s="27" t="s">
        <v>51</v>
      </c>
      <c r="D50" s="27" t="s">
        <v>52</v>
      </c>
    </row>
    <row r="51" spans="2:4">
      <c r="B51" s="28" t="s">
        <v>53</v>
      </c>
      <c r="C51" s="27" t="s">
        <v>54</v>
      </c>
      <c r="D51" s="27" t="s">
        <v>55</v>
      </c>
    </row>
    <row r="52" spans="2:4">
      <c r="B52" s="29" t="s">
        <v>56</v>
      </c>
      <c r="C52" s="27" t="s">
        <v>57</v>
      </c>
      <c r="D52" s="27" t="s">
        <v>58</v>
      </c>
    </row>
    <row r="53" spans="2:4">
      <c r="B53" s="30" t="s">
        <v>59</v>
      </c>
      <c r="C53" s="31" t="s">
        <v>60</v>
      </c>
      <c r="D53" s="31" t="s">
        <v>61</v>
      </c>
    </row>
    <row r="54" spans="2:4"/>
    <row r="55" spans="2:4">
      <c r="B55" s="22" t="s">
        <v>62</v>
      </c>
      <c r="C55" s="23"/>
      <c r="D55" s="23"/>
    </row>
    <row r="56" spans="2:4" ht="4.95" customHeight="1">
      <c r="B56" s="24"/>
      <c r="C56" s="25"/>
      <c r="D56" s="25"/>
    </row>
    <row r="57" spans="2:4">
      <c r="B57" s="389" t="s">
        <v>63</v>
      </c>
      <c r="C57" s="389" t="s">
        <v>45</v>
      </c>
      <c r="D57" s="389" t="s">
        <v>64</v>
      </c>
    </row>
    <row r="58" spans="2:4">
      <c r="B58" s="216">
        <v>100000</v>
      </c>
      <c r="C58" s="27" t="s">
        <v>65</v>
      </c>
      <c r="D58" s="27" t="s">
        <v>66</v>
      </c>
    </row>
    <row r="59" spans="2:4">
      <c r="B59" s="217">
        <v>1</v>
      </c>
      <c r="C59" s="27" t="s">
        <v>67</v>
      </c>
      <c r="D59" s="27" t="s">
        <v>68</v>
      </c>
    </row>
    <row r="60" spans="2:4">
      <c r="B60" s="218">
        <v>100</v>
      </c>
      <c r="C60" s="27" t="s">
        <v>69</v>
      </c>
      <c r="D60" s="27" t="s">
        <v>70</v>
      </c>
    </row>
    <row r="61" spans="2:4">
      <c r="B61" s="219">
        <v>1</v>
      </c>
      <c r="C61" s="31" t="s">
        <v>71</v>
      </c>
      <c r="D61" s="31" t="s">
        <v>72</v>
      </c>
    </row>
    <row r="62" spans="2:4">
      <c r="B62" s="17" t="s">
        <v>73</v>
      </c>
    </row>
    <row r="63" spans="2:4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D627-9A4F-4226-BCFB-AD7E6EC3EDF0}">
  <sheetPr>
    <tabColor rgb="FF050A3F"/>
  </sheetPr>
  <dimension ref="A1:S137"/>
  <sheetViews>
    <sheetView showGridLines="0" topLeftCell="A97" zoomScale="85" zoomScaleNormal="85" workbookViewId="0">
      <pane xSplit="2" topLeftCell="C1" activePane="topRight" state="frozen"/>
      <selection activeCell="C92" sqref="C92:H92"/>
      <selection pane="topRight" activeCell="C80" sqref="C80"/>
    </sheetView>
  </sheetViews>
  <sheetFormatPr defaultColWidth="0" defaultRowHeight="13.8" zeroHeight="1" outlineLevelCol="1"/>
  <cols>
    <col min="1" max="1" width="2.5" style="20" customWidth="1"/>
    <col min="2" max="2" width="48.19921875" style="20" customWidth="1"/>
    <col min="3" max="8" width="10.69921875" style="20" customWidth="1" outlineLevel="1"/>
    <col min="9" max="17" width="10.69921875" style="20" customWidth="1"/>
    <col min="18" max="19" width="5.19921875" style="20" customWidth="1"/>
    <col min="20" max="16384" width="9" style="20" hidden="1"/>
  </cols>
  <sheetData>
    <row r="1" spans="2:19" s="33" customFormat="1" ht="17.399999999999999">
      <c r="B1" s="32" t="s">
        <v>6</v>
      </c>
      <c r="R1"/>
      <c r="S1"/>
    </row>
    <row r="2" spans="2:19" s="33" customFormat="1" ht="17.399999999999999">
      <c r="B2" s="32" t="str">
        <f>company</f>
        <v>Nike</v>
      </c>
      <c r="R2"/>
      <c r="S2"/>
    </row>
    <row r="3" spans="2:19" s="33" customFormat="1" ht="17.399999999999999">
      <c r="B3" s="32" t="s">
        <v>11</v>
      </c>
      <c r="R3"/>
      <c r="S3"/>
    </row>
    <row r="4" spans="2:19" s="33" customFormat="1" ht="17.399999999999999">
      <c r="B4" s="32" t="s">
        <v>74</v>
      </c>
      <c r="C4" s="35"/>
      <c r="D4" s="35"/>
      <c r="E4" s="35"/>
      <c r="F4" s="35"/>
      <c r="R4"/>
      <c r="S4"/>
    </row>
    <row r="5" spans="2:19" ht="15.75" customHeight="1">
      <c r="R5"/>
      <c r="S5"/>
    </row>
    <row r="6" spans="2:19" s="34" customFormat="1" ht="15.6">
      <c r="B6" s="32" t="s">
        <v>75</v>
      </c>
      <c r="C6" s="36">
        <v>2020</v>
      </c>
      <c r="D6" s="36">
        <f t="shared" ref="D6:Q6" si="0">C6+1</f>
        <v>2021</v>
      </c>
      <c r="E6" s="36">
        <f t="shared" si="0"/>
        <v>2022</v>
      </c>
      <c r="F6" s="36">
        <f t="shared" si="0"/>
        <v>2023</v>
      </c>
      <c r="G6" s="36">
        <f t="shared" si="0"/>
        <v>2024</v>
      </c>
      <c r="H6" s="36">
        <f t="shared" si="0"/>
        <v>2025</v>
      </c>
      <c r="I6" s="37">
        <f t="shared" si="0"/>
        <v>2026</v>
      </c>
      <c r="J6" s="37">
        <f t="shared" si="0"/>
        <v>2027</v>
      </c>
      <c r="K6" s="37">
        <f t="shared" si="0"/>
        <v>2028</v>
      </c>
      <c r="L6" s="37">
        <f t="shared" si="0"/>
        <v>2029</v>
      </c>
      <c r="M6" s="37">
        <f t="shared" si="0"/>
        <v>2030</v>
      </c>
      <c r="N6" s="37">
        <f t="shared" si="0"/>
        <v>2031</v>
      </c>
      <c r="O6" s="37">
        <f t="shared" si="0"/>
        <v>2032</v>
      </c>
      <c r="P6" s="37">
        <f t="shared" si="0"/>
        <v>2033</v>
      </c>
      <c r="Q6" s="37">
        <f t="shared" si="0"/>
        <v>2034</v>
      </c>
      <c r="R6"/>
      <c r="S6"/>
    </row>
    <row r="7" spans="2:19" ht="15.6">
      <c r="C7" s="38"/>
      <c r="R7"/>
      <c r="S7"/>
    </row>
    <row r="8" spans="2:19" s="34" customFormat="1" ht="15.6">
      <c r="B8" s="32" t="s">
        <v>100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/>
      <c r="S8"/>
    </row>
    <row r="9" spans="2:19" ht="15.6"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/>
      <c r="S9"/>
    </row>
    <row r="10" spans="2:19" ht="15.6">
      <c r="B10" s="41" t="s">
        <v>96</v>
      </c>
      <c r="C10" s="42">
        <v>37403</v>
      </c>
      <c r="D10" s="42">
        <v>44538</v>
      </c>
      <c r="E10" s="42">
        <v>46710</v>
      </c>
      <c r="F10" s="42">
        <v>51217</v>
      </c>
      <c r="G10" s="42">
        <v>51362</v>
      </c>
      <c r="H10" s="42">
        <v>46309</v>
      </c>
      <c r="I10" s="43">
        <f>'Supporting Schedules'!I10</f>
        <v>46816.5005397204</v>
      </c>
      <c r="J10" s="43">
        <f>'Supporting Schedules'!J10</f>
        <v>48604.807805292243</v>
      </c>
      <c r="K10" s="43">
        <f>'Supporting Schedules'!K10</f>
        <v>51099.318142062592</v>
      </c>
      <c r="L10" s="43">
        <f>'Supporting Schedules'!L10</f>
        <v>54096.745512957081</v>
      </c>
      <c r="M10" s="43">
        <f>'Supporting Schedules'!M10</f>
        <v>57317.950485696187</v>
      </c>
      <c r="N10" s="43">
        <f>'Supporting Schedules'!N10</f>
        <v>62220.860486669815</v>
      </c>
      <c r="O10" s="43">
        <f>'Supporting Schedules'!O10</f>
        <v>66263.242121421645</v>
      </c>
      <c r="P10" s="43">
        <f>'Supporting Schedules'!P10</f>
        <v>70464.973863387233</v>
      </c>
      <c r="Q10" s="43">
        <f>'Supporting Schedules'!Q10</f>
        <v>74822.066286893038</v>
      </c>
      <c r="R10"/>
      <c r="S10"/>
    </row>
    <row r="11" spans="2:19" ht="15.6">
      <c r="B11" s="45" t="s">
        <v>101</v>
      </c>
      <c r="C11" s="46" t="str">
        <f>IFERROR(C10/B10-1," ")</f>
        <v xml:space="preserve"> </v>
      </c>
      <c r="D11" s="46">
        <f>IFERROR(D10/C10-1," ")</f>
        <v>0.19076009945726269</v>
      </c>
      <c r="E11" s="46">
        <f>IFERROR(E10/D10-1," ")</f>
        <v>4.8767344739323759E-2</v>
      </c>
      <c r="F11" s="46">
        <f>IFERROR(F10/E10-1," ")</f>
        <v>9.6488974523656568E-2</v>
      </c>
      <c r="G11" s="46">
        <f t="shared" ref="G11:Q11" si="1">IFERROR(G10/F10-1," ")</f>
        <v>2.8310912392370824E-3</v>
      </c>
      <c r="H11" s="230">
        <f t="shared" si="1"/>
        <v>-9.8380125384525563E-2</v>
      </c>
      <c r="I11" s="47">
        <f t="shared" si="1"/>
        <v>1.0959004507123948E-2</v>
      </c>
      <c r="J11" s="47">
        <f t="shared" si="1"/>
        <v>3.8198225945029751E-2</v>
      </c>
      <c r="K11" s="47">
        <f t="shared" si="1"/>
        <v>5.1322296073326612E-2</v>
      </c>
      <c r="L11" s="47">
        <f t="shared" si="1"/>
        <v>5.8658852600758093E-2</v>
      </c>
      <c r="M11" s="47">
        <f t="shared" si="1"/>
        <v>5.9545263623438816E-2</v>
      </c>
      <c r="N11" s="47">
        <f t="shared" si="1"/>
        <v>8.5538822645048418E-2</v>
      </c>
      <c r="O11" s="47">
        <f t="shared" si="1"/>
        <v>6.4968269534264378E-2</v>
      </c>
      <c r="P11" s="47">
        <f t="shared" si="1"/>
        <v>6.3409691518961253E-2</v>
      </c>
      <c r="Q11" s="47">
        <f t="shared" si="1"/>
        <v>6.1833449792418005E-2</v>
      </c>
      <c r="R11"/>
      <c r="S11"/>
    </row>
    <row r="12" spans="2:19" ht="15.6">
      <c r="B12" s="41" t="s">
        <v>102</v>
      </c>
      <c r="C12" s="42">
        <v>21162</v>
      </c>
      <c r="D12" s="42">
        <v>24576</v>
      </c>
      <c r="E12" s="42">
        <v>25231</v>
      </c>
      <c r="F12" s="42">
        <v>28925</v>
      </c>
      <c r="G12" s="42">
        <v>28475</v>
      </c>
      <c r="H12" s="42">
        <v>26519</v>
      </c>
      <c r="I12" s="43">
        <f>I10*'Supporting Schedules'!I51</f>
        <v>27072.031660936289</v>
      </c>
      <c r="J12" s="43">
        <f>J10*'Supporting Schedules'!J51</f>
        <v>27863.111204085268</v>
      </c>
      <c r="K12" s="43">
        <f>K10*'Supporting Schedules'!K51</f>
        <v>29037.613456115047</v>
      </c>
      <c r="L12" s="43">
        <f>L10*'Supporting Schedules'!L51</f>
        <v>30470.442816150302</v>
      </c>
      <c r="M12" s="43">
        <f>M10*'Supporting Schedules'!M51</f>
        <v>31998.223613932405</v>
      </c>
      <c r="N12" s="43">
        <f>N10*'Supporting Schedules'!N51</f>
        <v>34735.313988601163</v>
      </c>
      <c r="O12" s="43">
        <f>O10*'Supporting Schedules'!O51</f>
        <v>36992.007230169911</v>
      </c>
      <c r="P12" s="43">
        <f>P10*'Supporting Schedules'!P51</f>
        <v>39337.658997302169</v>
      </c>
      <c r="Q12" s="43">
        <f>Q10*'Supporting Schedules'!Q51</f>
        <v>41770.042159863122</v>
      </c>
      <c r="R12"/>
      <c r="S12"/>
    </row>
    <row r="13" spans="2:19" ht="15.6">
      <c r="B13" s="45" t="s">
        <v>103</v>
      </c>
      <c r="C13" s="46">
        <f>IFERROR(C12/C10," ")</f>
        <v>0.5657834933026763</v>
      </c>
      <c r="D13" s="46">
        <f t="shared" ref="D13:H13" si="2">IFERROR(D12/D10," ")</f>
        <v>0.55179846423279</v>
      </c>
      <c r="E13" s="46">
        <f t="shared" si="2"/>
        <v>0.54016270605865979</v>
      </c>
      <c r="F13" s="46">
        <f t="shared" si="2"/>
        <v>0.56475389030985801</v>
      </c>
      <c r="G13" s="46">
        <f t="shared" si="2"/>
        <v>0.55439819321677508</v>
      </c>
      <c r="H13" s="230">
        <f t="shared" si="2"/>
        <v>0.57265326394437366</v>
      </c>
      <c r="I13" s="47">
        <f t="shared" ref="I13" si="3">IFERROR(I12/I10," ")</f>
        <v>0.57825833517752223</v>
      </c>
      <c r="J13" s="47">
        <f t="shared" ref="J13" si="4">IFERROR(J12/J10," ")</f>
        <v>0.57325833517752223</v>
      </c>
      <c r="K13" s="47">
        <f t="shared" ref="K13" si="5">IFERROR(K12/K10," ")</f>
        <v>0.56825833517752222</v>
      </c>
      <c r="L13" s="47">
        <f t="shared" ref="L13" si="6">IFERROR(L12/L10," ")</f>
        <v>0.56325833517752222</v>
      </c>
      <c r="M13" s="47">
        <f t="shared" ref="M13" si="7">IFERROR(M12/M10," ")</f>
        <v>0.55825833517752221</v>
      </c>
      <c r="N13" s="47">
        <f t="shared" ref="N13" si="8">IFERROR(N12/N10," ")</f>
        <v>0.55825833517752221</v>
      </c>
      <c r="O13" s="47">
        <f t="shared" ref="O13" si="9">IFERROR(O12/O10," ")</f>
        <v>0.55825833517752221</v>
      </c>
      <c r="P13" s="47">
        <f t="shared" ref="P13" si="10">IFERROR(P12/P10," ")</f>
        <v>0.55825833517752221</v>
      </c>
      <c r="Q13" s="47">
        <f t="shared" ref="Q13" si="11">IFERROR(Q12/Q10," ")</f>
        <v>0.55825833517752221</v>
      </c>
      <c r="R13"/>
      <c r="S13"/>
    </row>
    <row r="14" spans="2:19" ht="15.6">
      <c r="B14" s="48" t="s">
        <v>104</v>
      </c>
      <c r="C14" s="49">
        <f>C10-C12</f>
        <v>16241</v>
      </c>
      <c r="D14" s="49">
        <f t="shared" ref="D14:Q14" si="12">D10-D12</f>
        <v>19962</v>
      </c>
      <c r="E14" s="49">
        <f t="shared" si="12"/>
        <v>21479</v>
      </c>
      <c r="F14" s="49">
        <f t="shared" si="12"/>
        <v>22292</v>
      </c>
      <c r="G14" s="49">
        <f t="shared" si="12"/>
        <v>22887</v>
      </c>
      <c r="H14" s="231">
        <f t="shared" si="12"/>
        <v>19790</v>
      </c>
      <c r="I14" s="50">
        <f t="shared" si="12"/>
        <v>19744.468878784111</v>
      </c>
      <c r="J14" s="50">
        <f t="shared" si="12"/>
        <v>20741.696601206975</v>
      </c>
      <c r="K14" s="50">
        <f t="shared" si="12"/>
        <v>22061.704685947545</v>
      </c>
      <c r="L14" s="50">
        <f t="shared" si="12"/>
        <v>23626.302696806779</v>
      </c>
      <c r="M14" s="50">
        <f t="shared" si="12"/>
        <v>25319.726871763782</v>
      </c>
      <c r="N14" s="50">
        <f t="shared" si="12"/>
        <v>27485.546498068652</v>
      </c>
      <c r="O14" s="50">
        <f t="shared" si="12"/>
        <v>29271.234891251734</v>
      </c>
      <c r="P14" s="50">
        <f t="shared" si="12"/>
        <v>31127.314866085064</v>
      </c>
      <c r="Q14" s="50">
        <f t="shared" si="12"/>
        <v>33052.024127029916</v>
      </c>
      <c r="R14"/>
      <c r="S14"/>
    </row>
    <row r="15" spans="2:19" ht="15.6">
      <c r="B15" s="45" t="s">
        <v>105</v>
      </c>
      <c r="C15" s="51">
        <f>IFERROR(C14/C10," ")</f>
        <v>0.43421650669732376</v>
      </c>
      <c r="D15" s="51">
        <f>IFERROR(D14/D10," ")</f>
        <v>0.44820153576721</v>
      </c>
      <c r="E15" s="51">
        <f>IFERROR(E14/E10," ")</f>
        <v>0.45983729394134021</v>
      </c>
      <c r="F15" s="51">
        <f t="shared" ref="F15:Q15" si="13">IFERROR(F14/F10," ")</f>
        <v>0.43524610969014194</v>
      </c>
      <c r="G15" s="51">
        <f t="shared" si="13"/>
        <v>0.44560180678322497</v>
      </c>
      <c r="H15" s="232">
        <f t="shared" si="13"/>
        <v>0.42734673605562634</v>
      </c>
      <c r="I15" s="52">
        <f t="shared" si="13"/>
        <v>0.42174166482247777</v>
      </c>
      <c r="J15" s="52">
        <f t="shared" si="13"/>
        <v>0.42674166482247783</v>
      </c>
      <c r="K15" s="52">
        <f t="shared" si="13"/>
        <v>0.43174166482247778</v>
      </c>
      <c r="L15" s="52">
        <f t="shared" si="13"/>
        <v>0.43674166482247778</v>
      </c>
      <c r="M15" s="52">
        <f t="shared" si="13"/>
        <v>0.44174166482247779</v>
      </c>
      <c r="N15" s="52">
        <f t="shared" si="13"/>
        <v>0.44174166482247784</v>
      </c>
      <c r="O15" s="52">
        <f t="shared" si="13"/>
        <v>0.44174166482247779</v>
      </c>
      <c r="P15" s="52">
        <f t="shared" si="13"/>
        <v>0.44174166482247784</v>
      </c>
      <c r="Q15" s="52">
        <f t="shared" si="13"/>
        <v>0.44174166482247773</v>
      </c>
      <c r="R15"/>
      <c r="S15"/>
    </row>
    <row r="16" spans="2:19" ht="15.6">
      <c r="B16" s="45"/>
      <c r="C16" s="51"/>
      <c r="D16" s="51"/>
      <c r="E16" s="51"/>
      <c r="F16" s="51"/>
      <c r="G16" s="51"/>
      <c r="H16" s="232"/>
      <c r="I16" s="51"/>
      <c r="J16" s="51"/>
      <c r="K16" s="51"/>
      <c r="L16" s="51"/>
      <c r="M16" s="51"/>
      <c r="N16" s="51"/>
      <c r="O16" s="51"/>
      <c r="P16" s="51"/>
      <c r="Q16" s="51"/>
      <c r="R16"/>
      <c r="S16"/>
    </row>
    <row r="17" spans="1:19" ht="15.6">
      <c r="B17" s="53" t="s">
        <v>106</v>
      </c>
      <c r="C17" s="54"/>
      <c r="D17" s="54"/>
      <c r="E17" s="54"/>
      <c r="F17" s="54"/>
      <c r="G17" s="55"/>
      <c r="H17" s="233"/>
      <c r="I17" s="55"/>
      <c r="J17" s="54"/>
      <c r="K17" s="54"/>
      <c r="L17" s="54"/>
      <c r="M17" s="54"/>
      <c r="N17" s="54"/>
      <c r="O17" s="54"/>
      <c r="P17" s="54"/>
      <c r="Q17" s="54"/>
      <c r="R17"/>
      <c r="S17"/>
    </row>
    <row r="18" spans="1:19" ht="15.6">
      <c r="B18" s="56" t="s">
        <v>107</v>
      </c>
      <c r="C18" s="42">
        <v>3592</v>
      </c>
      <c r="D18" s="42">
        <v>3114</v>
      </c>
      <c r="E18" s="42">
        <v>3850</v>
      </c>
      <c r="F18" s="42">
        <v>4060</v>
      </c>
      <c r="G18" s="42">
        <v>4285</v>
      </c>
      <c r="H18" s="243">
        <v>4689</v>
      </c>
      <c r="I18" s="43">
        <f>I$10*'Supporting Schedules'!I53</f>
        <v>3997.5749274239752</v>
      </c>
      <c r="J18" s="43">
        <f>J$10*'Supporting Schedules'!J53</f>
        <v>4150.2751977339021</v>
      </c>
      <c r="K18" s="43">
        <f>K$10*'Supporting Schedules'!K53</f>
        <v>4363.276850217786</v>
      </c>
      <c r="L18" s="43">
        <f>L$10*'Supporting Schedules'!L53</f>
        <v>4619.2216638310101</v>
      </c>
      <c r="M18" s="43">
        <f>M$10*'Supporting Schedules'!M53</f>
        <v>4894.2744355389277</v>
      </c>
      <c r="N18" s="43">
        <f>N$10*'Supporting Schedules'!N53</f>
        <v>5312.9249084566854</v>
      </c>
      <c r="O18" s="43">
        <f>O$10*'Supporting Schedules'!O53</f>
        <v>5658.096445924607</v>
      </c>
      <c r="P18" s="43">
        <f>P$10*'Supporting Schedules'!P53</f>
        <v>6016.8745961452178</v>
      </c>
      <c r="Q18" s="43">
        <f>Q$10*'Supporting Schedules'!Q53</f>
        <v>6388.9187093932387</v>
      </c>
      <c r="R18"/>
      <c r="S18"/>
    </row>
    <row r="19" spans="1:19" ht="15.6">
      <c r="B19" s="56" t="s">
        <v>108</v>
      </c>
      <c r="C19" s="42">
        <f>9534-C25</f>
        <v>8415</v>
      </c>
      <c r="D19" s="42">
        <f>9911-D25</f>
        <v>9114</v>
      </c>
      <c r="E19" s="42">
        <f>10954-E25</f>
        <v>10114</v>
      </c>
      <c r="F19" s="42">
        <f>12317-F25</f>
        <v>11614</v>
      </c>
      <c r="G19" s="42">
        <f>12291-G25</f>
        <v>11495</v>
      </c>
      <c r="H19" s="243">
        <f>11399-H25</f>
        <v>10624</v>
      </c>
      <c r="I19" s="43">
        <f>I$10*'Supporting Schedules'!I54</f>
        <v>11985.986942020498</v>
      </c>
      <c r="J19" s="43">
        <f>J$10*'Supporting Schedules'!J54</f>
        <v>11471.734223300127</v>
      </c>
      <c r="K19" s="43">
        <f>K$10*'Supporting Schedules'!K54</f>
        <v>12060.489963582851</v>
      </c>
      <c r="L19" s="43">
        <f>L$10*'Supporting Schedules'!L54</f>
        <v>10604.074646131296</v>
      </c>
      <c r="M19" s="43">
        <f>M$10*'Supporting Schedules'!M54</f>
        <v>11235.497066417807</v>
      </c>
      <c r="N19" s="43">
        <f>N$10*'Supporting Schedules'!N54</f>
        <v>12196.568257311081</v>
      </c>
      <c r="O19" s="43">
        <f>O$10*'Supporting Schedules'!O54</f>
        <v>12988.958191245121</v>
      </c>
      <c r="P19" s="43">
        <f>P$10*'Supporting Schedules'!P54</f>
        <v>13812.58402330466</v>
      </c>
      <c r="Q19" s="43">
        <f>Q$10*'Supporting Schedules'!Q54</f>
        <v>14666.663744013224</v>
      </c>
      <c r="R19"/>
      <c r="S19"/>
    </row>
    <row r="20" spans="1:19" ht="15.6">
      <c r="B20" s="56" t="s">
        <v>109</v>
      </c>
      <c r="C20" s="42">
        <v>139</v>
      </c>
      <c r="D20" s="42">
        <v>14</v>
      </c>
      <c r="E20" s="42">
        <v>-181</v>
      </c>
      <c r="F20" s="42">
        <v>-280</v>
      </c>
      <c r="G20" s="42">
        <v>-228</v>
      </c>
      <c r="H20" s="63">
        <v>-76</v>
      </c>
      <c r="I20" s="43">
        <f>I$10*'Supporting Schedules'!I55</f>
        <v>-88.885179248558558</v>
      </c>
      <c r="J20" s="43">
        <f>J$10*'Supporting Schedules'!J55</f>
        <v>-92.280435408659457</v>
      </c>
      <c r="K20" s="43">
        <f>K$10*'Supporting Schedules'!K55</f>
        <v>-97.016479236478176</v>
      </c>
      <c r="L20" s="43">
        <f>L$10*'Supporting Schedules'!L55</f>
        <v>-102.70735459185525</v>
      </c>
      <c r="M20" s="43">
        <f>M$10*'Supporting Schedules'!M55</f>
        <v>-108.82309109709328</v>
      </c>
      <c r="N20" s="43">
        <f>N$10*'Supporting Schedules'!N55</f>
        <v>-118.13169018613348</v>
      </c>
      <c r="O20" s="43">
        <f>O$10*'Supporting Schedules'!O55</f>
        <v>-125.80650167468443</v>
      </c>
      <c r="P20" s="43">
        <f>P$10*'Supporting Schedules'!P55</f>
        <v>-133.78385313695586</v>
      </c>
      <c r="Q20" s="43">
        <f>Q$10*'Supporting Schedules'!Q55</f>
        <v>-142.05617030293604</v>
      </c>
      <c r="R20"/>
      <c r="S20"/>
    </row>
    <row r="21" spans="1:19" ht="15.6">
      <c r="B21" s="48" t="s">
        <v>110</v>
      </c>
      <c r="C21" s="49">
        <f>SUM(C18:C20)</f>
        <v>12146</v>
      </c>
      <c r="D21" s="49">
        <f t="shared" ref="D21:Q21" si="14">SUM(D18:D20)</f>
        <v>12242</v>
      </c>
      <c r="E21" s="49">
        <f t="shared" si="14"/>
        <v>13783</v>
      </c>
      <c r="F21" s="49">
        <f>SUM(F18:F20)</f>
        <v>15394</v>
      </c>
      <c r="G21" s="49">
        <f t="shared" si="14"/>
        <v>15552</v>
      </c>
      <c r="H21" s="231">
        <f t="shared" si="14"/>
        <v>15237</v>
      </c>
      <c r="I21" s="50">
        <f t="shared" si="14"/>
        <v>15894.676690195914</v>
      </c>
      <c r="J21" s="50">
        <f t="shared" si="14"/>
        <v>15529.728985625368</v>
      </c>
      <c r="K21" s="50">
        <f t="shared" si="14"/>
        <v>16326.75033456416</v>
      </c>
      <c r="L21" s="50">
        <f t="shared" si="14"/>
        <v>15120.588955370449</v>
      </c>
      <c r="M21" s="50">
        <f t="shared" si="14"/>
        <v>16020.948410859643</v>
      </c>
      <c r="N21" s="50">
        <f t="shared" si="14"/>
        <v>17391.361475581634</v>
      </c>
      <c r="O21" s="50">
        <f t="shared" si="14"/>
        <v>18521.248135495043</v>
      </c>
      <c r="P21" s="50">
        <f t="shared" si="14"/>
        <v>19695.674766312921</v>
      </c>
      <c r="Q21" s="50">
        <f t="shared" si="14"/>
        <v>20913.526283103529</v>
      </c>
      <c r="R21"/>
      <c r="S21"/>
    </row>
    <row r="22" spans="1:19" ht="15.6">
      <c r="B22" s="53"/>
      <c r="C22" s="57"/>
      <c r="D22" s="57"/>
      <c r="E22" s="57"/>
      <c r="F22" s="57"/>
      <c r="G22" s="57"/>
      <c r="H22" s="234"/>
      <c r="I22" s="57"/>
      <c r="J22" s="57"/>
      <c r="K22" s="57"/>
      <c r="L22" s="57"/>
      <c r="M22" s="57"/>
      <c r="N22" s="57"/>
      <c r="O22" s="57"/>
      <c r="P22" s="57"/>
      <c r="Q22" s="57"/>
      <c r="R22"/>
      <c r="S22"/>
    </row>
    <row r="23" spans="1:19" ht="15.6">
      <c r="B23" s="58" t="s">
        <v>111</v>
      </c>
      <c r="C23" s="57">
        <f>C14-C21</f>
        <v>4095</v>
      </c>
      <c r="D23" s="57">
        <f t="shared" ref="D23:Q23" si="15">D14-D21</f>
        <v>7720</v>
      </c>
      <c r="E23" s="57">
        <f t="shared" si="15"/>
        <v>7696</v>
      </c>
      <c r="F23" s="57">
        <f>F14-F21</f>
        <v>6898</v>
      </c>
      <c r="G23" s="57">
        <f t="shared" si="15"/>
        <v>7335</v>
      </c>
      <c r="H23" s="234">
        <f t="shared" si="15"/>
        <v>4553</v>
      </c>
      <c r="I23" s="59">
        <f t="shared" si="15"/>
        <v>3849.792188588197</v>
      </c>
      <c r="J23" s="59">
        <f t="shared" si="15"/>
        <v>5211.9676155816069</v>
      </c>
      <c r="K23" s="59">
        <f t="shared" si="15"/>
        <v>5734.9543513833851</v>
      </c>
      <c r="L23" s="59">
        <f t="shared" si="15"/>
        <v>8505.7137414363297</v>
      </c>
      <c r="M23" s="59">
        <f t="shared" si="15"/>
        <v>9298.7784609041391</v>
      </c>
      <c r="N23" s="59">
        <f t="shared" si="15"/>
        <v>10094.185022487018</v>
      </c>
      <c r="O23" s="59">
        <f t="shared" si="15"/>
        <v>10749.98675575669</v>
      </c>
      <c r="P23" s="59">
        <f t="shared" si="15"/>
        <v>11431.640099772143</v>
      </c>
      <c r="Q23" s="59">
        <f t="shared" si="15"/>
        <v>12138.497843926387</v>
      </c>
      <c r="R23"/>
      <c r="S23"/>
    </row>
    <row r="24" spans="1:19" ht="15.6">
      <c r="B24" s="58"/>
      <c r="C24" s="57"/>
      <c r="D24" s="57"/>
      <c r="E24" s="57"/>
      <c r="F24" s="57"/>
      <c r="G24" s="57"/>
      <c r="H24" s="234"/>
      <c r="I24" s="60"/>
      <c r="J24" s="61"/>
      <c r="K24" s="61"/>
      <c r="L24" s="44"/>
      <c r="M24" s="44"/>
      <c r="N24" s="44"/>
      <c r="O24" s="44"/>
      <c r="P24" s="44"/>
      <c r="Q24" s="44"/>
      <c r="R24"/>
      <c r="S24"/>
    </row>
    <row r="25" spans="1:19" ht="15.6">
      <c r="B25" s="62" t="s">
        <v>112</v>
      </c>
      <c r="C25" s="42">
        <f>398+721</f>
        <v>1119</v>
      </c>
      <c r="D25" s="42">
        <f>744+53</f>
        <v>797</v>
      </c>
      <c r="E25" s="42">
        <f>717+123</f>
        <v>840</v>
      </c>
      <c r="F25" s="42">
        <v>703</v>
      </c>
      <c r="G25" s="42">
        <v>796</v>
      </c>
      <c r="H25" s="243">
        <v>775</v>
      </c>
      <c r="I25" s="43">
        <f>'Supporting Schedules'!I62</f>
        <v>838.12555067339474</v>
      </c>
      <c r="J25" s="43">
        <f>'Supporting Schedules'!J62</f>
        <v>850.78682027274374</v>
      </c>
      <c r="K25" s="43">
        <f>'Supporting Schedules'!K62</f>
        <v>858.53776112494438</v>
      </c>
      <c r="L25" s="43">
        <f>'Supporting Schedules'!L62</f>
        <v>898.8970650939408</v>
      </c>
      <c r="M25" s="43">
        <f>'Supporting Schedules'!M62</f>
        <v>911.85794315217424</v>
      </c>
      <c r="N25" s="43">
        <f>'Supporting Schedules'!N62</f>
        <v>941.18300079634992</v>
      </c>
      <c r="O25" s="43">
        <f>'Supporting Schedules'!O62</f>
        <v>964.48070354403671</v>
      </c>
      <c r="P25" s="43">
        <f>'Supporting Schedules'!P62</f>
        <v>997.78944784449527</v>
      </c>
      <c r="Q25" s="43">
        <f>'Supporting Schedules'!Q62</f>
        <v>1042.1105275801028</v>
      </c>
      <c r="R25"/>
      <c r="S25"/>
    </row>
    <row r="26" spans="1:19" ht="15.6">
      <c r="B26" s="62"/>
      <c r="C26" s="42"/>
      <c r="D26" s="42"/>
      <c r="E26" s="42"/>
      <c r="F26" s="42"/>
      <c r="G26" s="42"/>
      <c r="H26" s="229"/>
      <c r="I26" s="63"/>
      <c r="J26" s="63"/>
      <c r="K26" s="63"/>
      <c r="L26" s="63"/>
      <c r="M26" s="63"/>
      <c r="N26" s="63"/>
      <c r="O26" s="63"/>
      <c r="P26" s="63"/>
      <c r="Q26" s="63"/>
      <c r="R26"/>
      <c r="S26"/>
    </row>
    <row r="27" spans="1:19" ht="15.6">
      <c r="B27" s="58" t="s">
        <v>113</v>
      </c>
      <c r="C27" s="57">
        <f>C23-C25</f>
        <v>2976</v>
      </c>
      <c r="D27" s="57">
        <f t="shared" ref="D27:Q27" si="16">D23-D25</f>
        <v>6923</v>
      </c>
      <c r="E27" s="57">
        <f t="shared" si="16"/>
        <v>6856</v>
      </c>
      <c r="F27" s="57">
        <f t="shared" si="16"/>
        <v>6195</v>
      </c>
      <c r="G27" s="57">
        <f t="shared" si="16"/>
        <v>6539</v>
      </c>
      <c r="H27" s="234">
        <f t="shared" si="16"/>
        <v>3778</v>
      </c>
      <c r="I27" s="59">
        <f t="shared" si="16"/>
        <v>3011.6666379148023</v>
      </c>
      <c r="J27" s="59">
        <f t="shared" si="16"/>
        <v>4361.1807953088628</v>
      </c>
      <c r="K27" s="59">
        <f t="shared" si="16"/>
        <v>4876.4165902584409</v>
      </c>
      <c r="L27" s="59">
        <f t="shared" si="16"/>
        <v>7606.8166763423887</v>
      </c>
      <c r="M27" s="59">
        <f t="shared" si="16"/>
        <v>8386.9205177519652</v>
      </c>
      <c r="N27" s="59">
        <f t="shared" si="16"/>
        <v>9153.0020216906669</v>
      </c>
      <c r="O27" s="59">
        <f t="shared" si="16"/>
        <v>9785.5060522126532</v>
      </c>
      <c r="P27" s="59">
        <f t="shared" si="16"/>
        <v>10433.850651927647</v>
      </c>
      <c r="Q27" s="59">
        <f t="shared" si="16"/>
        <v>11096.387316346285</v>
      </c>
      <c r="R27"/>
      <c r="S27"/>
    </row>
    <row r="28" spans="1:19" ht="15.6">
      <c r="B28" s="58"/>
      <c r="C28" s="57"/>
      <c r="D28" s="57"/>
      <c r="E28" s="57"/>
      <c r="F28" s="57"/>
      <c r="G28" s="57"/>
      <c r="H28" s="234"/>
      <c r="I28" s="60"/>
      <c r="J28" s="61"/>
      <c r="K28" s="61"/>
      <c r="L28" s="44"/>
      <c r="M28" s="44"/>
      <c r="N28" s="44"/>
      <c r="O28" s="44"/>
      <c r="P28" s="44"/>
      <c r="Q28" s="44"/>
      <c r="R28"/>
      <c r="S28"/>
    </row>
    <row r="29" spans="1:19" ht="15.6">
      <c r="B29" s="255" t="s">
        <v>114</v>
      </c>
      <c r="C29" s="234"/>
      <c r="D29" s="234"/>
      <c r="E29" s="234"/>
      <c r="F29" s="234"/>
      <c r="G29" s="234"/>
      <c r="H29" s="234"/>
      <c r="I29" s="60"/>
      <c r="J29" s="61"/>
      <c r="K29" s="61"/>
      <c r="L29" s="44"/>
      <c r="M29" s="44"/>
      <c r="N29" s="44"/>
      <c r="O29" s="44"/>
      <c r="P29" s="44"/>
      <c r="Q29" s="44"/>
      <c r="R29"/>
      <c r="S29"/>
    </row>
    <row r="30" spans="1:19" ht="15.6">
      <c r="B30" s="256" t="s">
        <v>115</v>
      </c>
      <c r="C30" s="243">
        <v>89</v>
      </c>
      <c r="D30" s="243">
        <v>262</v>
      </c>
      <c r="E30" s="243">
        <v>205</v>
      </c>
      <c r="F30" s="243">
        <v>-6</v>
      </c>
      <c r="G30" s="243">
        <v>-161</v>
      </c>
      <c r="H30" s="243">
        <v>-107</v>
      </c>
      <c r="I30" s="43">
        <f>I10*'Supporting Schedules'!I57</f>
        <v>55.310258205873538</v>
      </c>
      <c r="J30" s="43">
        <f>J10*'Supporting Schedules'!J57</f>
        <v>57.423011945899425</v>
      </c>
      <c r="K30" s="43">
        <f>K10*'Supporting Schedules'!K57</f>
        <v>60.370092766409051</v>
      </c>
      <c r="L30" s="43">
        <f>L10*'Supporting Schedules'!L57</f>
        <v>63.91133313948793</v>
      </c>
      <c r="M30" s="43">
        <f>M10*'Supporting Schedules'!M57</f>
        <v>67.716950319804155</v>
      </c>
      <c r="N30" s="43">
        <f>N10*'Supporting Schedules'!N57</f>
        <v>73.509378523273426</v>
      </c>
      <c r="O30" s="43">
        <f>O10*'Supporting Schedules'!O57</f>
        <v>78.285155640469725</v>
      </c>
      <c r="P30" s="43">
        <f>P10*'Supporting Schedules'!P57</f>
        <v>83.249193210145791</v>
      </c>
      <c r="Q30" s="43">
        <f>Q10*'Supporting Schedules'!Q57</f>
        <v>88.39677801876465</v>
      </c>
      <c r="R30"/>
      <c r="S30"/>
    </row>
    <row r="31" spans="1:19" s="257" customFormat="1" ht="15.6">
      <c r="A31" s="20"/>
      <c r="B31" s="48" t="s">
        <v>116</v>
      </c>
      <c r="C31" s="49">
        <f t="shared" ref="C31:Q31" si="17">SUM(C30:C30)</f>
        <v>89</v>
      </c>
      <c r="D31" s="49">
        <f t="shared" si="17"/>
        <v>262</v>
      </c>
      <c r="E31" s="49">
        <f t="shared" si="17"/>
        <v>205</v>
      </c>
      <c r="F31" s="49">
        <f t="shared" si="17"/>
        <v>-6</v>
      </c>
      <c r="G31" s="49">
        <f t="shared" si="17"/>
        <v>-161</v>
      </c>
      <c r="H31" s="231">
        <f t="shared" si="17"/>
        <v>-107</v>
      </c>
      <c r="I31" s="50">
        <f t="shared" si="17"/>
        <v>55.310258205873538</v>
      </c>
      <c r="J31" s="50">
        <f t="shared" si="17"/>
        <v>57.423011945899425</v>
      </c>
      <c r="K31" s="50">
        <f t="shared" si="17"/>
        <v>60.370092766409051</v>
      </c>
      <c r="L31" s="50">
        <f t="shared" si="17"/>
        <v>63.91133313948793</v>
      </c>
      <c r="M31" s="50">
        <f t="shared" si="17"/>
        <v>67.716950319804155</v>
      </c>
      <c r="N31" s="50">
        <f t="shared" si="17"/>
        <v>73.509378523273426</v>
      </c>
      <c r="O31" s="50">
        <f t="shared" si="17"/>
        <v>78.285155640469725</v>
      </c>
      <c r="P31" s="50">
        <f t="shared" si="17"/>
        <v>83.249193210145791</v>
      </c>
      <c r="Q31" s="50">
        <f t="shared" si="17"/>
        <v>88.39677801876465</v>
      </c>
      <c r="R31"/>
      <c r="S31"/>
    </row>
    <row r="32" spans="1:19" ht="15.6">
      <c r="B32" s="41"/>
      <c r="C32" s="64"/>
      <c r="D32" s="64"/>
      <c r="E32" s="64"/>
      <c r="F32" s="64"/>
      <c r="G32" s="64"/>
      <c r="H32" s="235"/>
      <c r="I32" s="64"/>
      <c r="J32" s="54"/>
      <c r="K32" s="54"/>
      <c r="L32" s="54"/>
      <c r="M32" s="54"/>
      <c r="N32" s="54"/>
      <c r="O32" s="54"/>
      <c r="P32" s="54"/>
      <c r="Q32" s="54"/>
      <c r="R32"/>
      <c r="S32"/>
    </row>
    <row r="33" spans="2:19" ht="15.6">
      <c r="B33" s="53" t="s">
        <v>117</v>
      </c>
      <c r="C33" s="57">
        <f t="shared" ref="C33:Q33" si="18">C27-C31</f>
        <v>2887</v>
      </c>
      <c r="D33" s="57">
        <f t="shared" si="18"/>
        <v>6661</v>
      </c>
      <c r="E33" s="57">
        <f t="shared" si="18"/>
        <v>6651</v>
      </c>
      <c r="F33" s="57">
        <f t="shared" si="18"/>
        <v>6201</v>
      </c>
      <c r="G33" s="57">
        <f t="shared" si="18"/>
        <v>6700</v>
      </c>
      <c r="H33" s="234">
        <f t="shared" si="18"/>
        <v>3885</v>
      </c>
      <c r="I33" s="59">
        <f t="shared" si="18"/>
        <v>2956.3563797089287</v>
      </c>
      <c r="J33" s="59">
        <f t="shared" si="18"/>
        <v>4303.757783362963</v>
      </c>
      <c r="K33" s="59">
        <f t="shared" si="18"/>
        <v>4816.0464974920314</v>
      </c>
      <c r="L33" s="59">
        <f t="shared" si="18"/>
        <v>7542.9053432029004</v>
      </c>
      <c r="M33" s="59">
        <f t="shared" si="18"/>
        <v>8319.2035674321614</v>
      </c>
      <c r="N33" s="59">
        <f t="shared" si="18"/>
        <v>9079.4926431673939</v>
      </c>
      <c r="O33" s="59">
        <f t="shared" si="18"/>
        <v>9707.2208965721838</v>
      </c>
      <c r="P33" s="59">
        <f t="shared" si="18"/>
        <v>10350.601458717501</v>
      </c>
      <c r="Q33" s="59">
        <f t="shared" si="18"/>
        <v>11007.99053832752</v>
      </c>
      <c r="R33"/>
      <c r="S33"/>
    </row>
    <row r="34" spans="2:19" ht="15.6">
      <c r="B34" s="41"/>
      <c r="C34" s="64"/>
      <c r="D34" s="64"/>
      <c r="E34" s="64"/>
      <c r="F34" s="64"/>
      <c r="G34" s="64"/>
      <c r="H34" s="235"/>
      <c r="I34" s="64"/>
      <c r="J34" s="54"/>
      <c r="K34" s="54"/>
      <c r="L34" s="54"/>
      <c r="M34" s="54"/>
      <c r="N34" s="54"/>
      <c r="O34" s="54"/>
      <c r="P34" s="54"/>
      <c r="Q34" s="54"/>
      <c r="R34"/>
      <c r="S34"/>
    </row>
    <row r="35" spans="2:19" ht="15.6">
      <c r="B35" s="41" t="s">
        <v>118</v>
      </c>
      <c r="C35" s="42">
        <v>348</v>
      </c>
      <c r="D35" s="42">
        <v>934</v>
      </c>
      <c r="E35" s="42">
        <v>605</v>
      </c>
      <c r="F35" s="42">
        <v>1131</v>
      </c>
      <c r="G35" s="42">
        <v>1000</v>
      </c>
      <c r="H35" s="243">
        <v>666</v>
      </c>
      <c r="I35" s="43">
        <f>I33*'Supporting Schedules'!I69</f>
        <v>535.98741164122873</v>
      </c>
      <c r="J35" s="43">
        <f>J33*'Supporting Schedules'!J69</f>
        <v>780.27128612370518</v>
      </c>
      <c r="K35" s="43">
        <f>K33*'Supporting Schedules'!K69</f>
        <v>873.14922999530529</v>
      </c>
      <c r="L35" s="43">
        <f>L33*'Supporting Schedules'!L69</f>
        <v>1367.5287387226858</v>
      </c>
      <c r="M35" s="43">
        <f>M33*'Supporting Schedules'!M69</f>
        <v>1508.2716067754507</v>
      </c>
      <c r="N35" s="43">
        <f>N33*'Supporting Schedules'!N69</f>
        <v>1646.1120162062484</v>
      </c>
      <c r="O35" s="43">
        <f>O33*'Supporting Schedules'!O69</f>
        <v>1759.9191485485369</v>
      </c>
      <c r="P35" s="43">
        <f>P33*'Supporting Schedules'!P69</f>
        <v>1876.564044465483</v>
      </c>
      <c r="Q35" s="43">
        <f>Q33*'Supporting Schedules'!Q69</f>
        <v>1995.7486845987792</v>
      </c>
      <c r="R35"/>
      <c r="S35"/>
    </row>
    <row r="36" spans="2:19" ht="15.6">
      <c r="B36" s="41"/>
      <c r="C36" s="64"/>
      <c r="D36" s="64"/>
      <c r="E36" s="64"/>
      <c r="F36" s="64"/>
      <c r="G36" s="64"/>
      <c r="H36" s="235"/>
      <c r="I36" s="64"/>
      <c r="J36" s="54"/>
      <c r="K36" s="54"/>
      <c r="L36" s="54"/>
      <c r="M36" s="54"/>
      <c r="N36" s="54"/>
      <c r="O36" s="54"/>
      <c r="P36" s="54"/>
      <c r="Q36" s="54"/>
      <c r="R36"/>
      <c r="S36"/>
    </row>
    <row r="37" spans="2:19" ht="15.6">
      <c r="B37" s="53" t="s">
        <v>119</v>
      </c>
      <c r="C37" s="57">
        <f>C33-C35</f>
        <v>2539</v>
      </c>
      <c r="D37" s="57">
        <f t="shared" ref="D37:Q37" si="19">D33-D35</f>
        <v>5727</v>
      </c>
      <c r="E37" s="57">
        <f t="shared" si="19"/>
        <v>6046</v>
      </c>
      <c r="F37" s="57">
        <f t="shared" si="19"/>
        <v>5070</v>
      </c>
      <c r="G37" s="57">
        <f t="shared" si="19"/>
        <v>5700</v>
      </c>
      <c r="H37" s="234">
        <f t="shared" si="19"/>
        <v>3219</v>
      </c>
      <c r="I37" s="59">
        <f t="shared" si="19"/>
        <v>2420.3689680676998</v>
      </c>
      <c r="J37" s="59">
        <f t="shared" si="19"/>
        <v>3523.4864972392579</v>
      </c>
      <c r="K37" s="59">
        <f t="shared" si="19"/>
        <v>3942.8972674967263</v>
      </c>
      <c r="L37" s="59">
        <f t="shared" si="19"/>
        <v>6175.3766044802142</v>
      </c>
      <c r="M37" s="59">
        <f t="shared" si="19"/>
        <v>6810.9319606567105</v>
      </c>
      <c r="N37" s="59">
        <f t="shared" si="19"/>
        <v>7433.380626961145</v>
      </c>
      <c r="O37" s="59">
        <f t="shared" si="19"/>
        <v>7947.3017480236467</v>
      </c>
      <c r="P37" s="59">
        <f t="shared" si="19"/>
        <v>8474.0374142520177</v>
      </c>
      <c r="Q37" s="59">
        <f t="shared" si="19"/>
        <v>9012.2418537287413</v>
      </c>
      <c r="R37"/>
      <c r="S37"/>
    </row>
    <row r="38" spans="2:19" ht="15.6">
      <c r="B38" s="65" t="s">
        <v>120</v>
      </c>
      <c r="C38" s="51">
        <f t="shared" ref="C38:Q38" si="20">IFERROR(C37/C10," ")</f>
        <v>6.7882255434056085E-2</v>
      </c>
      <c r="D38" s="51">
        <f t="shared" si="20"/>
        <v>0.12858682473393507</v>
      </c>
      <c r="E38" s="51">
        <f t="shared" si="20"/>
        <v>0.12943695140226932</v>
      </c>
      <c r="F38" s="51">
        <f t="shared" si="20"/>
        <v>9.8990569537458259E-2</v>
      </c>
      <c r="G38" s="51">
        <f t="shared" si="20"/>
        <v>0.11097698687745804</v>
      </c>
      <c r="H38" s="232">
        <f t="shared" si="20"/>
        <v>6.9511326092120324E-2</v>
      </c>
      <c r="I38" s="52">
        <f t="shared" si="20"/>
        <v>5.1699057814331775E-2</v>
      </c>
      <c r="J38" s="52">
        <f t="shared" si="20"/>
        <v>7.2492550764815686E-2</v>
      </c>
      <c r="K38" s="52">
        <f t="shared" si="20"/>
        <v>7.7161445805107837E-2</v>
      </c>
      <c r="L38" s="52">
        <f t="shared" si="20"/>
        <v>0.11415430902402636</v>
      </c>
      <c r="M38" s="52">
        <f t="shared" si="20"/>
        <v>0.11882720688619863</v>
      </c>
      <c r="N38" s="52">
        <f t="shared" si="20"/>
        <v>0.11946766034445427</v>
      </c>
      <c r="O38" s="52">
        <f t="shared" si="20"/>
        <v>0.11993529887144529</v>
      </c>
      <c r="P38" s="52">
        <f t="shared" si="20"/>
        <v>0.12025885982276689</v>
      </c>
      <c r="Q38" s="52">
        <f t="shared" si="20"/>
        <v>0.12044898384886574</v>
      </c>
      <c r="R38"/>
      <c r="S38"/>
    </row>
    <row r="39" spans="2:19" ht="15.6">
      <c r="B39" s="58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/>
      <c r="S39"/>
    </row>
    <row r="40" spans="2:19" s="34" customFormat="1" ht="15.6">
      <c r="B40" s="32" t="s">
        <v>121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/>
      <c r="S40"/>
    </row>
    <row r="41" spans="2:19" ht="15.6">
      <c r="B41" s="67"/>
      <c r="C41" s="68"/>
      <c r="D41" s="68"/>
      <c r="E41" s="68"/>
      <c r="F41" s="68"/>
      <c r="G41" s="68"/>
      <c r="H41" s="69"/>
      <c r="I41" s="70"/>
      <c r="J41" s="71"/>
      <c r="K41" s="69"/>
      <c r="L41" s="69"/>
      <c r="M41" s="69"/>
      <c r="N41" s="69"/>
      <c r="O41" s="69"/>
      <c r="P41" s="69"/>
      <c r="Q41" s="69"/>
      <c r="R41"/>
      <c r="S41"/>
    </row>
    <row r="42" spans="2:19" ht="15.6">
      <c r="B42" s="72" t="s">
        <v>122</v>
      </c>
      <c r="C42" s="73"/>
      <c r="D42" s="73"/>
      <c r="E42" s="73"/>
      <c r="F42" s="73"/>
      <c r="G42" s="74"/>
      <c r="H42" s="74"/>
      <c r="I42" s="64"/>
      <c r="J42" s="41"/>
      <c r="K42" s="41"/>
      <c r="L42" s="41"/>
      <c r="M42" s="41"/>
      <c r="N42" s="41"/>
      <c r="O42" s="41"/>
      <c r="P42" s="41"/>
      <c r="Q42" s="41"/>
      <c r="R42"/>
      <c r="S42"/>
    </row>
    <row r="43" spans="2:19" ht="15.6">
      <c r="B43" s="72"/>
      <c r="C43" s="73"/>
      <c r="D43" s="73"/>
      <c r="E43" s="73"/>
      <c r="F43" s="73"/>
      <c r="G43" s="74"/>
      <c r="H43" s="74"/>
      <c r="I43" s="64"/>
      <c r="J43" s="41"/>
      <c r="K43" s="41"/>
      <c r="L43" s="41"/>
      <c r="M43" s="41"/>
      <c r="N43" s="41"/>
      <c r="O43" s="41"/>
      <c r="P43" s="41"/>
      <c r="Q43" s="41"/>
      <c r="R43"/>
      <c r="S43"/>
    </row>
    <row r="44" spans="2:19" ht="15.6">
      <c r="B44" s="75" t="s">
        <v>123</v>
      </c>
      <c r="C44" s="64"/>
      <c r="D44" s="64"/>
      <c r="E44" s="64"/>
      <c r="F44" s="64"/>
      <c r="G44"/>
      <c r="H44" s="64"/>
      <c r="I44" s="64"/>
      <c r="J44" s="76"/>
      <c r="K44" s="77"/>
      <c r="L44" s="77"/>
      <c r="M44" s="77"/>
      <c r="N44" s="77"/>
      <c r="O44" s="77"/>
      <c r="P44" s="77"/>
      <c r="Q44" s="77"/>
      <c r="R44"/>
      <c r="S44"/>
    </row>
    <row r="45" spans="2:19" ht="15.6">
      <c r="B45" s="78" t="s">
        <v>124</v>
      </c>
      <c r="C45" s="42">
        <v>8348</v>
      </c>
      <c r="D45" s="42">
        <v>9889</v>
      </c>
      <c r="E45" s="42">
        <v>8574</v>
      </c>
      <c r="F45" s="42">
        <v>7441</v>
      </c>
      <c r="G45" s="42">
        <v>9860</v>
      </c>
      <c r="H45" s="42">
        <v>7464</v>
      </c>
      <c r="I45" s="43">
        <f>H45+I123</f>
        <v>7757.6000228704197</v>
      </c>
      <c r="J45" s="43">
        <f>I45+J123</f>
        <v>7127.3026560897069</v>
      </c>
      <c r="K45" s="43">
        <f t="shared" ref="K45:Q45" si="21">J45+K123</f>
        <v>6566.804891315167</v>
      </c>
      <c r="L45" s="43">
        <f t="shared" si="21"/>
        <v>7410.998471306958</v>
      </c>
      <c r="M45" s="43">
        <f t="shared" si="21"/>
        <v>8462.0802861926859</v>
      </c>
      <c r="N45" s="43">
        <f t="shared" si="21"/>
        <v>9355.7508343449299</v>
      </c>
      <c r="O45" s="43">
        <f t="shared" si="21"/>
        <v>10435.863927961884</v>
      </c>
      <c r="P45" s="43">
        <f t="shared" si="21"/>
        <v>11594.285000977059</v>
      </c>
      <c r="Q45" s="43">
        <f t="shared" si="21"/>
        <v>12838.553595950312</v>
      </c>
      <c r="R45"/>
      <c r="S45"/>
    </row>
    <row r="46" spans="2:19" ht="15.6">
      <c r="B46" s="78" t="s">
        <v>125</v>
      </c>
      <c r="C46" s="42">
        <v>439</v>
      </c>
      <c r="D46" s="42">
        <v>3587</v>
      </c>
      <c r="E46" s="42">
        <v>4423</v>
      </c>
      <c r="F46" s="42">
        <v>3234</v>
      </c>
      <c r="G46" s="42">
        <v>1722</v>
      </c>
      <c r="H46" s="42">
        <v>1687</v>
      </c>
      <c r="I46" s="43">
        <f>'Supporting Schedules'!I72*'Financial Statements'!I$10</f>
        <v>1561.0546303574697</v>
      </c>
      <c r="J46" s="43">
        <f>'Supporting Schedules'!J72*'Financial Statements'!J$10</f>
        <v>1620.6841478403992</v>
      </c>
      <c r="K46" s="43">
        <f>'Supporting Schedules'!K72*'Financial Statements'!K$10</f>
        <v>1703.8613795172112</v>
      </c>
      <c r="L46" s="43">
        <f>'Supporting Schedules'!L72*'Financial Statements'!L$10</f>
        <v>1803.8079330304356</v>
      </c>
      <c r="M46" s="43">
        <f>'Supporting Schedules'!M72*'Financial Statements'!M$10</f>
        <v>1911.2161519287829</v>
      </c>
      <c r="N46" s="43">
        <f>'Supporting Schedules'!N72*'Financial Statements'!N$10</f>
        <v>2074.6993313849707</v>
      </c>
      <c r="O46" s="43">
        <f>'Supporting Schedules'!O72*'Financial Statements'!O$10</f>
        <v>2209.4889567489477</v>
      </c>
      <c r="P46" s="43">
        <f>'Supporting Schedules'!P72*'Financial Statements'!P$10</f>
        <v>2349.5919699109504</v>
      </c>
      <c r="Q46" s="43">
        <f>'Supporting Schedules'!Q72*'Financial Statements'!Q$10</f>
        <v>2494.8753470151078</v>
      </c>
      <c r="R46"/>
      <c r="S46"/>
    </row>
    <row r="47" spans="2:19" ht="15.6">
      <c r="B47" s="78" t="s">
        <v>126</v>
      </c>
      <c r="C47" s="42">
        <v>2749</v>
      </c>
      <c r="D47" s="42">
        <v>4463</v>
      </c>
      <c r="E47" s="42">
        <v>4667</v>
      </c>
      <c r="F47" s="42">
        <v>4131</v>
      </c>
      <c r="G47" s="42">
        <v>4427</v>
      </c>
      <c r="H47" s="42">
        <v>4717</v>
      </c>
      <c r="I47" s="43">
        <f>'Financial Statements'!I10/'Supporting Schedules'!I73</f>
        <v>4166.9200933794336</v>
      </c>
      <c r="J47" s="43">
        <f>'Financial Statements'!J10/'Supporting Schedules'!J73</f>
        <v>4326.0890486012258</v>
      </c>
      <c r="K47" s="43">
        <f>'Financial Statements'!K10/'Supporting Schedules'!K73</f>
        <v>4548.1138715931138</v>
      </c>
      <c r="L47" s="43">
        <f>'Financial Statements'!L10/'Supporting Schedules'!L73</f>
        <v>4814.9010127983574</v>
      </c>
      <c r="M47" s="43">
        <f>'Financial Statements'!M10/'Supporting Schedules'!M73</f>
        <v>5101.6055629261973</v>
      </c>
      <c r="N47" s="43">
        <f>'Financial Statements'!N10/'Supporting Schedules'!N73</f>
        <v>5537.9908963783337</v>
      </c>
      <c r="O47" s="43">
        <f>'Financial Statements'!O10/'Supporting Schedules'!O73</f>
        <v>5897.7845816125437</v>
      </c>
      <c r="P47" s="43">
        <f>'Financial Statements'!P10/'Supporting Schedules'!P73</f>
        <v>6271.7612825778815</v>
      </c>
      <c r="Q47" s="43">
        <f>'Financial Statements'!Q10/'Supporting Schedules'!Q73</f>
        <v>6659.5659189541921</v>
      </c>
      <c r="R47"/>
      <c r="S47"/>
    </row>
    <row r="48" spans="2:19" ht="15.6">
      <c r="B48" s="78" t="s">
        <v>127</v>
      </c>
      <c r="C48" s="42">
        <v>7367</v>
      </c>
      <c r="D48" s="42">
        <v>6854</v>
      </c>
      <c r="E48" s="42">
        <v>8420</v>
      </c>
      <c r="F48" s="42">
        <v>8454</v>
      </c>
      <c r="G48" s="42">
        <v>7519</v>
      </c>
      <c r="H48" s="42">
        <v>7489</v>
      </c>
      <c r="I48" s="43">
        <f>'Financial Statements'!I12/'Supporting Schedules'!I74</f>
        <v>8039.4745233757531</v>
      </c>
      <c r="J48" s="43">
        <f>'Financial Statements'!J12/'Supporting Schedules'!J74</f>
        <v>8274.398296839232</v>
      </c>
      <c r="K48" s="43">
        <f>'Financial Statements'!K12/'Supporting Schedules'!K74</f>
        <v>8623.1856006922262</v>
      </c>
      <c r="L48" s="43">
        <f>'Financial Statements'!L12/'Supporting Schedules'!L74</f>
        <v>9048.6872874743785</v>
      </c>
      <c r="M48" s="43">
        <f>'Financial Statements'!M12/'Supporting Schedules'!M74</f>
        <v>9502.3863284220552</v>
      </c>
      <c r="N48" s="43">
        <f>'Financial Statements'!N12/'Supporting Schedules'!N74</f>
        <v>10315.20926727368</v>
      </c>
      <c r="O48" s="43">
        <f>'Financial Statements'!O12/'Supporting Schedules'!O74</f>
        <v>10985.37056325226</v>
      </c>
      <c r="P48" s="43">
        <f>'Financial Statements'!P12/'Supporting Schedules'!P74</f>
        <v>11681.949521889563</v>
      </c>
      <c r="Q48" s="43">
        <f>'Financial Statements'!Q12/'Supporting Schedules'!Q74</f>
        <v>12404.284761128885</v>
      </c>
      <c r="R48"/>
      <c r="S48"/>
    </row>
    <row r="49" spans="2:19" ht="15.6">
      <c r="B49" s="78" t="s">
        <v>128</v>
      </c>
      <c r="C49" s="244">
        <v>1653</v>
      </c>
      <c r="D49" s="244">
        <v>1498</v>
      </c>
      <c r="E49" s="244">
        <v>2129</v>
      </c>
      <c r="F49" s="244">
        <v>1942</v>
      </c>
      <c r="G49" s="244">
        <v>1854</v>
      </c>
      <c r="H49" s="244">
        <v>2005</v>
      </c>
      <c r="I49" s="43">
        <f>'Supporting Schedules'!I75*'Financial Statements'!I$10</f>
        <v>1878.2589916452218</v>
      </c>
      <c r="J49" s="43">
        <f>'Supporting Schedules'!J75*'Financial Statements'!J$10</f>
        <v>1950.0051529913696</v>
      </c>
      <c r="K49" s="43">
        <f>'Supporting Schedules'!K75*'Financial Statements'!K$10</f>
        <v>2050.0838947977054</v>
      </c>
      <c r="L49" s="43">
        <f>'Supporting Schedules'!L75*'Financial Statements'!L$10</f>
        <v>2170.3394638018317</v>
      </c>
      <c r="M49" s="43">
        <f>'Supporting Schedules'!M75*'Financial Statements'!M$10</f>
        <v>2299.5728993262646</v>
      </c>
      <c r="N49" s="43">
        <f>'Supporting Schedules'!N75*'Financial Statements'!N$10</f>
        <v>2496.2756577210935</v>
      </c>
      <c r="O49" s="43">
        <f>'Supporting Schedules'!O75*'Financial Statements'!O$10</f>
        <v>2658.454367483741</v>
      </c>
      <c r="P49" s="43">
        <f>'Supporting Schedules'!P75*'Financial Statements'!P$10</f>
        <v>2827.0261388431204</v>
      </c>
      <c r="Q49" s="43">
        <f>'Supporting Schedules'!Q75*'Financial Statements'!Q$10</f>
        <v>3001.8309176611297</v>
      </c>
      <c r="R49"/>
      <c r="S49"/>
    </row>
    <row r="50" spans="2:19" ht="15.6">
      <c r="B50" s="79" t="s">
        <v>129</v>
      </c>
      <c r="C50" s="57">
        <f>SUM(C45:C49)</f>
        <v>20556</v>
      </c>
      <c r="D50" s="57">
        <f>SUM(D45:D49)</f>
        <v>26291</v>
      </c>
      <c r="E50" s="57">
        <f t="shared" ref="E50:Q50" si="22">SUM(E45:E49)</f>
        <v>28213</v>
      </c>
      <c r="F50" s="57">
        <f t="shared" si="22"/>
        <v>25202</v>
      </c>
      <c r="G50" s="57">
        <f>SUM(G45:G49)</f>
        <v>25382</v>
      </c>
      <c r="H50" s="57">
        <f t="shared" si="22"/>
        <v>23362</v>
      </c>
      <c r="I50" s="50">
        <f>SUM(I45:I49)</f>
        <v>23403.308261628299</v>
      </c>
      <c r="J50" s="50">
        <f t="shared" si="22"/>
        <v>23298.479302361935</v>
      </c>
      <c r="K50" s="50">
        <f t="shared" si="22"/>
        <v>23492.049637915425</v>
      </c>
      <c r="L50" s="50">
        <f t="shared" si="22"/>
        <v>25248.734168411964</v>
      </c>
      <c r="M50" s="50">
        <f t="shared" si="22"/>
        <v>27276.861228795988</v>
      </c>
      <c r="N50" s="50">
        <f t="shared" si="22"/>
        <v>29779.925987103008</v>
      </c>
      <c r="O50" s="50">
        <f t="shared" si="22"/>
        <v>32186.962397059375</v>
      </c>
      <c r="P50" s="50">
        <f t="shared" si="22"/>
        <v>34724.61391419857</v>
      </c>
      <c r="Q50" s="50">
        <f t="shared" si="22"/>
        <v>37399.110540709626</v>
      </c>
      <c r="R50"/>
      <c r="S50"/>
    </row>
    <row r="51" spans="2:19" ht="15.6">
      <c r="B51" s="73"/>
      <c r="C51" s="80"/>
      <c r="D51" s="80"/>
      <c r="E51" s="80"/>
      <c r="F51" s="80"/>
      <c r="G51" s="80"/>
      <c r="H51" s="81"/>
      <c r="I51" s="80"/>
      <c r="J51" s="81"/>
      <c r="K51" s="81"/>
      <c r="L51" s="81"/>
      <c r="M51" s="81"/>
      <c r="N51" s="81"/>
      <c r="O51" s="81"/>
      <c r="P51" s="81"/>
      <c r="Q51" s="81"/>
      <c r="R51"/>
      <c r="S51"/>
    </row>
    <row r="52" spans="2:19" ht="15.6">
      <c r="B52" s="75" t="s">
        <v>130</v>
      </c>
      <c r="C52" s="80"/>
      <c r="D52" s="80"/>
      <c r="E52" s="80"/>
      <c r="F52" s="80"/>
      <c r="G52" s="80"/>
      <c r="H52" s="81"/>
      <c r="I52" s="80"/>
      <c r="J52" s="81"/>
      <c r="K52" s="81"/>
      <c r="L52" s="81"/>
      <c r="M52" s="81"/>
      <c r="N52" s="81"/>
      <c r="O52" s="81"/>
      <c r="P52" s="81"/>
      <c r="Q52" s="81"/>
      <c r="R52"/>
      <c r="S52"/>
    </row>
    <row r="53" spans="2:19" ht="15.6">
      <c r="B53" s="82" t="s">
        <v>131</v>
      </c>
      <c r="C53" s="42">
        <v>4866</v>
      </c>
      <c r="D53" s="42">
        <v>4904</v>
      </c>
      <c r="E53" s="42">
        <v>4791</v>
      </c>
      <c r="F53" s="42">
        <v>5081</v>
      </c>
      <c r="G53" s="42">
        <v>5000</v>
      </c>
      <c r="H53" s="243">
        <v>4828</v>
      </c>
      <c r="I53" s="43">
        <f>'Supporting Schedules'!I63</f>
        <v>4599.241309951216</v>
      </c>
      <c r="J53" s="43">
        <f>'Supporting Schedules'!J63</f>
        <v>4598.0815125511463</v>
      </c>
      <c r="K53" s="43">
        <f>'Supporting Schedules'!K63</f>
        <v>4632.7755839186475</v>
      </c>
      <c r="L53" s="43">
        <f>'Supporting Schedules'!L63</f>
        <v>4544.2644419352382</v>
      </c>
      <c r="M53" s="43">
        <f>'Supporting Schedules'!M63</f>
        <v>4491.0470653219363</v>
      </c>
      <c r="N53" s="43">
        <f>'Supporting Schedules'!N63</f>
        <v>4481.9517342014706</v>
      </c>
      <c r="O53" s="43">
        <f>'Supporting Schedules'!O63</f>
        <v>4510.1148232863852</v>
      </c>
      <c r="P53" s="43">
        <f>'Supporting Schedules'!P63</f>
        <v>4567.9124047496562</v>
      </c>
      <c r="Q53" s="43">
        <f>'Supporting Schedules'!Q63</f>
        <v>4646.6594940555487</v>
      </c>
      <c r="R53"/>
      <c r="S53"/>
    </row>
    <row r="54" spans="2:19" ht="15.6">
      <c r="B54" s="82" t="s">
        <v>132</v>
      </c>
      <c r="C54" s="42">
        <v>3097</v>
      </c>
      <c r="D54" s="42">
        <v>3113</v>
      </c>
      <c r="E54" s="42">
        <v>2926</v>
      </c>
      <c r="F54" s="42">
        <v>2923</v>
      </c>
      <c r="G54" s="42">
        <v>2718</v>
      </c>
      <c r="H54" s="243">
        <v>2712</v>
      </c>
      <c r="I54" s="43">
        <f>I$10*'Supporting Schedules'!I84</f>
        <v>2995.4021986909383</v>
      </c>
      <c r="J54" s="43">
        <f>J$10*'Supporting Schedules'!J84</f>
        <v>3109.8212486727734</v>
      </c>
      <c r="K54" s="43">
        <f>K$10*'Supporting Schedules'!K84</f>
        <v>3269.4244155322799</v>
      </c>
      <c r="L54" s="43">
        <f>L$10*'Supporting Schedules'!L84</f>
        <v>3461.2051004123073</v>
      </c>
      <c r="M54" s="43">
        <f>M$10*'Supporting Schedules'!M84</f>
        <v>3667.3034705711489</v>
      </c>
      <c r="N54" s="43">
        <f>N$10*'Supporting Schedules'!N84</f>
        <v>3981.0002917259048</v>
      </c>
      <c r="O54" s="43">
        <f>O$10*'Supporting Schedules'!O84</f>
        <v>4239.6389916947392</v>
      </c>
      <c r="P54" s="43">
        <f>P$10*'Supporting Schedules'!P84</f>
        <v>4508.4731923098625</v>
      </c>
      <c r="Q54" s="43">
        <f>Q$10*'Supporting Schedules'!Q84</f>
        <v>4787.2476430870165</v>
      </c>
      <c r="R54"/>
      <c r="S54"/>
    </row>
    <row r="55" spans="2:19" ht="15.6">
      <c r="B55" s="82" t="s">
        <v>133</v>
      </c>
      <c r="C55" s="42">
        <v>274</v>
      </c>
      <c r="D55" s="42">
        <v>269</v>
      </c>
      <c r="E55" s="42">
        <v>286</v>
      </c>
      <c r="F55" s="42">
        <v>274</v>
      </c>
      <c r="G55" s="42">
        <v>259</v>
      </c>
      <c r="H55" s="243">
        <v>259</v>
      </c>
      <c r="I55" s="43">
        <f>I$10*'Supporting Schedules'!I85</f>
        <v>276.7914622297933</v>
      </c>
      <c r="J55" s="43">
        <f>J$10*'Supporting Schedules'!J85</f>
        <v>287.36440504370205</v>
      </c>
      <c r="K55" s="43">
        <f>K$10*'Supporting Schedules'!K85</f>
        <v>302.11260612029031</v>
      </c>
      <c r="L55" s="43">
        <f>L$10*'Supporting Schedules'!L85</f>
        <v>319.83418495153131</v>
      </c>
      <c r="M55" s="43">
        <f>M$10*'Supporting Schedules'!M85</f>
        <v>338.87879581025788</v>
      </c>
      <c r="N55" s="43">
        <f>N$10*'Supporting Schedules'!N85</f>
        <v>367.86608902323911</v>
      </c>
      <c r="O55" s="43">
        <f>O$10*'Supporting Schedules'!O85</f>
        <v>391.76571224741662</v>
      </c>
      <c r="P55" s="43">
        <f>P$10*'Supporting Schedules'!P85</f>
        <v>416.60745520873144</v>
      </c>
      <c r="Q55" s="43">
        <f>Q$10*'Supporting Schedules'!Q85</f>
        <v>442.36773137352759</v>
      </c>
      <c r="R55"/>
      <c r="S55"/>
    </row>
    <row r="56" spans="2:19" ht="15.6">
      <c r="B56" s="82" t="s">
        <v>134</v>
      </c>
      <c r="C56" s="42">
        <v>223</v>
      </c>
      <c r="D56" s="42">
        <v>242</v>
      </c>
      <c r="E56" s="42">
        <v>284</v>
      </c>
      <c r="F56" s="42">
        <v>281</v>
      </c>
      <c r="G56" s="42">
        <v>240</v>
      </c>
      <c r="H56" s="243">
        <v>240</v>
      </c>
      <c r="I56" s="43">
        <f>I$10*'Supporting Schedules'!I86</f>
        <v>242.63016108170976</v>
      </c>
      <c r="J56" s="43">
        <f>J$10*'Supporting Schedules'!J86</f>
        <v>251.89820279578785</v>
      </c>
      <c r="K56" s="43">
        <f>K$10*'Supporting Schedules'!K86</f>
        <v>264.82619694001215</v>
      </c>
      <c r="L56" s="43">
        <f>L$10*'Supporting Schedules'!L86</f>
        <v>280.36059779113566</v>
      </c>
      <c r="M56" s="43">
        <f>M$10*'Supporting Schedules'!M86</f>
        <v>297.0547434962337</v>
      </c>
      <c r="N56" s="43">
        <f>N$10*'Supporting Schedules'!N86</f>
        <v>322.46445651602835</v>
      </c>
      <c r="O56" s="43">
        <f>O$10*'Supporting Schedules'!O86</f>
        <v>343.41441424218175</v>
      </c>
      <c r="P56" s="43">
        <f>P$10*'Supporting Schedules'!P86</f>
        <v>365.19021631244328</v>
      </c>
      <c r="Q56" s="43">
        <f>Q$10*'Supporting Schedules'!Q86</f>
        <v>387.77118721748104</v>
      </c>
      <c r="R56"/>
      <c r="S56"/>
    </row>
    <row r="57" spans="2:19" ht="15.6">
      <c r="B57" s="82" t="s">
        <v>135</v>
      </c>
      <c r="C57" s="42">
        <v>2326</v>
      </c>
      <c r="D57" s="42">
        <v>2921</v>
      </c>
      <c r="E57" s="42">
        <v>3821</v>
      </c>
      <c r="F57" s="42">
        <v>3770</v>
      </c>
      <c r="G57" s="42">
        <f>2046+2465</f>
        <v>4511</v>
      </c>
      <c r="H57" s="243">
        <f>2510+2668</f>
        <v>5178</v>
      </c>
      <c r="I57" s="43">
        <f>I$10*'Supporting Schedules'!I87</f>
        <v>5234.7457253378871</v>
      </c>
      <c r="J57" s="43">
        <f>J$10*'Supporting Schedules'!J87</f>
        <v>5434.703725319122</v>
      </c>
      <c r="K57" s="43">
        <f>K$10*'Supporting Schedules'!K87</f>
        <v>5713.6251989807615</v>
      </c>
      <c r="L57" s="43">
        <f>L$10*'Supporting Schedules'!L87</f>
        <v>6048.7798973437502</v>
      </c>
      <c r="M57" s="43">
        <f>M$10*'Supporting Schedules'!M87</f>
        <v>6408.9560909312413</v>
      </c>
      <c r="N57" s="43">
        <f>N$10*'Supporting Schedules'!N87</f>
        <v>6957.1706493333104</v>
      </c>
      <c r="O57" s="43">
        <f>O$10*'Supporting Schedules'!O87</f>
        <v>7409.1659872750706</v>
      </c>
      <c r="P57" s="43">
        <f>P$10*'Supporting Schedules'!P87</f>
        <v>7878.9789169409632</v>
      </c>
      <c r="Q57" s="43">
        <f>Q$10*'Supporting Schedules'!Q87</f>
        <v>8366.1633642171528</v>
      </c>
      <c r="R57"/>
      <c r="S57"/>
    </row>
    <row r="58" spans="2:19" ht="15.6">
      <c r="B58" s="79" t="s">
        <v>136</v>
      </c>
      <c r="C58" s="49">
        <f t="shared" ref="C58:H58" si="23">SUM(C53:C57)</f>
        <v>10786</v>
      </c>
      <c r="D58" s="49">
        <f t="shared" si="23"/>
        <v>11449</v>
      </c>
      <c r="E58" s="49">
        <f t="shared" si="23"/>
        <v>12108</v>
      </c>
      <c r="F58" s="49">
        <f t="shared" si="23"/>
        <v>12329</v>
      </c>
      <c r="G58" s="49">
        <f t="shared" si="23"/>
        <v>12728</v>
      </c>
      <c r="H58" s="49">
        <f t="shared" si="23"/>
        <v>13217</v>
      </c>
      <c r="I58" s="50">
        <f t="shared" ref="I58:Q58" si="24">SUM(I53:I57)</f>
        <v>13348.810857291544</v>
      </c>
      <c r="J58" s="50">
        <f t="shared" si="24"/>
        <v>13681.869094382531</v>
      </c>
      <c r="K58" s="50">
        <f t="shared" si="24"/>
        <v>14182.764001491993</v>
      </c>
      <c r="L58" s="50">
        <f t="shared" si="24"/>
        <v>14654.444222433962</v>
      </c>
      <c r="M58" s="50">
        <f t="shared" si="24"/>
        <v>15203.240166130818</v>
      </c>
      <c r="N58" s="50">
        <f t="shared" si="24"/>
        <v>16110.453220799955</v>
      </c>
      <c r="O58" s="50">
        <f t="shared" si="24"/>
        <v>16894.099928745793</v>
      </c>
      <c r="P58" s="50">
        <f t="shared" si="24"/>
        <v>17737.162185521658</v>
      </c>
      <c r="Q58" s="50">
        <f t="shared" si="24"/>
        <v>18630.209419950726</v>
      </c>
      <c r="R58"/>
      <c r="S58"/>
    </row>
    <row r="59" spans="2:19" ht="15.6">
      <c r="B59" s="73"/>
      <c r="C59" s="57"/>
      <c r="D59" s="57"/>
      <c r="E59" s="57"/>
      <c r="F59" s="57"/>
      <c r="G59" s="57"/>
      <c r="H59" s="57"/>
      <c r="I59" s="59"/>
      <c r="J59" s="59"/>
      <c r="K59" s="59"/>
      <c r="L59" s="59"/>
      <c r="M59" s="59"/>
      <c r="N59" s="59"/>
      <c r="O59" s="59"/>
      <c r="P59" s="59"/>
      <c r="Q59" s="59"/>
      <c r="R59"/>
      <c r="S59"/>
    </row>
    <row r="60" spans="2:19" s="290" customFormat="1" ht="15.6">
      <c r="B60" s="91" t="s">
        <v>137</v>
      </c>
      <c r="C60" s="93">
        <f>C58+C50</f>
        <v>31342</v>
      </c>
      <c r="D60" s="93">
        <f t="shared" ref="D60:Q60" si="25">D58+D50</f>
        <v>37740</v>
      </c>
      <c r="E60" s="93">
        <f t="shared" si="25"/>
        <v>40321</v>
      </c>
      <c r="F60" s="92">
        <f t="shared" si="25"/>
        <v>37531</v>
      </c>
      <c r="G60" s="92">
        <f t="shared" si="25"/>
        <v>38110</v>
      </c>
      <c r="H60" s="237">
        <f t="shared" si="25"/>
        <v>36579</v>
      </c>
      <c r="I60" s="92">
        <f t="shared" si="25"/>
        <v>36752.119118919843</v>
      </c>
      <c r="J60" s="237">
        <f t="shared" si="25"/>
        <v>36980.348396744463</v>
      </c>
      <c r="K60" s="237">
        <f t="shared" si="25"/>
        <v>37674.813639407417</v>
      </c>
      <c r="L60" s="237">
        <f t="shared" si="25"/>
        <v>39903.178390845926</v>
      </c>
      <c r="M60" s="237">
        <f t="shared" si="25"/>
        <v>42480.101394926809</v>
      </c>
      <c r="N60" s="237">
        <f t="shared" si="25"/>
        <v>45890.379207902966</v>
      </c>
      <c r="O60" s="237">
        <f t="shared" si="25"/>
        <v>49081.062325805164</v>
      </c>
      <c r="P60" s="237">
        <f t="shared" si="25"/>
        <v>52461.776099720228</v>
      </c>
      <c r="Q60" s="237">
        <f t="shared" si="25"/>
        <v>56029.319960660352</v>
      </c>
      <c r="R60"/>
      <c r="S60"/>
    </row>
    <row r="61" spans="2:19" ht="15.6">
      <c r="B61" s="73"/>
      <c r="C61" s="86"/>
      <c r="D61" s="86"/>
      <c r="E61" s="86"/>
      <c r="F61" s="80"/>
      <c r="G61" s="80"/>
      <c r="H61" s="81"/>
      <c r="I61" s="80"/>
      <c r="J61" s="81"/>
      <c r="K61" s="81"/>
      <c r="L61" s="81"/>
      <c r="M61" s="81"/>
      <c r="N61" s="81"/>
      <c r="O61" s="81"/>
      <c r="P61" s="81"/>
      <c r="Q61" s="81"/>
      <c r="R61"/>
      <c r="S61"/>
    </row>
    <row r="62" spans="2:19" ht="15.6">
      <c r="B62" s="72" t="s">
        <v>138</v>
      </c>
      <c r="C62" s="86"/>
      <c r="D62" s="86"/>
      <c r="E62" s="86"/>
      <c r="F62" s="74"/>
      <c r="G62" s="74"/>
      <c r="H62" s="88"/>
      <c r="I62" s="74"/>
      <c r="J62" s="87"/>
      <c r="K62" s="88"/>
      <c r="L62" s="88"/>
      <c r="M62" s="88"/>
      <c r="N62" s="88"/>
      <c r="O62" s="88"/>
      <c r="P62" s="88"/>
      <c r="Q62" s="88"/>
      <c r="R62"/>
      <c r="S62"/>
    </row>
    <row r="63" spans="2:19" ht="15.6">
      <c r="B63" s="72"/>
      <c r="C63" s="86"/>
      <c r="D63" s="86"/>
      <c r="E63" s="86"/>
      <c r="F63" s="74"/>
      <c r="G63" s="74"/>
      <c r="H63" s="88"/>
      <c r="I63" s="74"/>
      <c r="J63" s="87"/>
      <c r="K63" s="88"/>
      <c r="L63" s="88"/>
      <c r="M63" s="88"/>
      <c r="N63" s="88"/>
      <c r="O63" s="88"/>
      <c r="P63" s="88"/>
      <c r="Q63" s="88"/>
      <c r="R63"/>
      <c r="S63"/>
    </row>
    <row r="64" spans="2:19" ht="15.6">
      <c r="B64" s="89" t="s">
        <v>139</v>
      </c>
      <c r="C64" s="86"/>
      <c r="D64" s="86"/>
      <c r="E64" s="86"/>
      <c r="F64" s="74"/>
      <c r="G64" s="74"/>
      <c r="H64" s="245"/>
      <c r="I64" s="74"/>
      <c r="J64" s="87"/>
      <c r="K64" s="88"/>
      <c r="L64" s="88"/>
      <c r="M64" s="88"/>
      <c r="N64" s="88"/>
      <c r="O64" s="88"/>
      <c r="P64" s="88"/>
      <c r="Q64" s="88"/>
      <c r="R64"/>
      <c r="S64"/>
    </row>
    <row r="65" spans="2:19" ht="15.6">
      <c r="B65" s="78" t="s">
        <v>140</v>
      </c>
      <c r="C65" s="42">
        <v>3</v>
      </c>
      <c r="D65" s="42">
        <v>0</v>
      </c>
      <c r="E65" s="42">
        <v>500</v>
      </c>
      <c r="F65" s="42">
        <v>0</v>
      </c>
      <c r="G65" s="42">
        <v>1000</v>
      </c>
      <c r="H65" s="243">
        <v>0</v>
      </c>
      <c r="I65" s="43"/>
      <c r="J65" s="43"/>
      <c r="K65" s="43"/>
      <c r="L65" s="43"/>
      <c r="M65" s="43"/>
      <c r="N65" s="43"/>
      <c r="O65" s="43"/>
      <c r="P65" s="43"/>
      <c r="Q65" s="43"/>
      <c r="R65"/>
      <c r="S65"/>
    </row>
    <row r="66" spans="2:19" ht="15.6">
      <c r="B66" s="78" t="s">
        <v>141</v>
      </c>
      <c r="C66" s="42">
        <v>248</v>
      </c>
      <c r="D66" s="42">
        <v>2</v>
      </c>
      <c r="E66" s="42">
        <v>10</v>
      </c>
      <c r="F66" s="42">
        <v>6</v>
      </c>
      <c r="G66" s="42">
        <v>6</v>
      </c>
      <c r="H66" s="243">
        <v>5</v>
      </c>
      <c r="I66" s="43">
        <f>'Supporting Schedules'!I77*'Financial Statements'!I$10</f>
        <v>5.6266809125408814</v>
      </c>
      <c r="J66" s="43">
        <f>'Supporting Schedules'!J77*'Financial Statements'!J$10</f>
        <v>5.8416101413587036</v>
      </c>
      <c r="K66" s="43">
        <f>'Supporting Schedules'!K77*'Financial Statements'!K$10</f>
        <v>6.1414149865784626</v>
      </c>
      <c r="L66" s="43">
        <f>'Supporting Schedules'!L77*'Financial Statements'!L$10</f>
        <v>6.5016633430362551</v>
      </c>
      <c r="M66" s="43">
        <f>'Supporting Schedules'!M77*'Financial Statements'!M$10</f>
        <v>6.8888066007881967</v>
      </c>
      <c r="N66" s="43">
        <f>'Supporting Schedules'!N77*'Financial Statements'!N$10</f>
        <v>7.4780670068490567</v>
      </c>
      <c r="O66" s="43">
        <f>'Supporting Schedules'!O77*'Financial Statements'!O$10</f>
        <v>7.9639040797453164</v>
      </c>
      <c r="P66" s="43">
        <f>'Supporting Schedules'!P77*'Financial Statements'!P$10</f>
        <v>8.4688927807285648</v>
      </c>
      <c r="Q66" s="43">
        <f>'Supporting Schedules'!Q77*'Financial Statements'!Q$10</f>
        <v>8.9925536372831161</v>
      </c>
      <c r="R66"/>
      <c r="S66"/>
    </row>
    <row r="67" spans="2:19" ht="15.6">
      <c r="B67" s="78" t="s">
        <v>142</v>
      </c>
      <c r="C67" s="42">
        <v>2248</v>
      </c>
      <c r="D67" s="42">
        <v>2836</v>
      </c>
      <c r="E67" s="42">
        <v>3358</v>
      </c>
      <c r="F67" s="42">
        <v>2862</v>
      </c>
      <c r="G67" s="42">
        <v>2851</v>
      </c>
      <c r="H67" s="243">
        <v>3479</v>
      </c>
      <c r="I67" s="43">
        <f>I10/'Supporting Schedules'!I78</f>
        <v>3930.0373639493332</v>
      </c>
      <c r="J67" s="43">
        <f>J10/'Supporting Schedules'!J78</f>
        <v>3764.1722693472889</v>
      </c>
      <c r="K67" s="43">
        <f>K10/'Supporting Schedules'!K78</f>
        <v>3672.9116369798003</v>
      </c>
      <c r="L67" s="43">
        <f>L10/'Supporting Schedules'!L78</f>
        <v>3627.6150691477051</v>
      </c>
      <c r="M67" s="43">
        <f>M10/'Supporting Schedules'!M78</f>
        <v>3602.0747361735766</v>
      </c>
      <c r="N67" s="43">
        <f>N10/'Supporting Schedules'!N78</f>
        <v>3678.9904272980411</v>
      </c>
      <c r="O67" s="43">
        <f>O10/'Supporting Schedules'!O78</f>
        <v>3699.2774652054877</v>
      </c>
      <c r="P67" s="43">
        <f>P10/'Supporting Schedules'!P78</f>
        <v>3725.8448014634869</v>
      </c>
      <c r="Q67" s="43">
        <f>Q10/'Supporting Schedules'!Q78</f>
        <v>3757.5459029386866</v>
      </c>
      <c r="R67"/>
      <c r="S67"/>
    </row>
    <row r="68" spans="2:19" ht="15.6">
      <c r="B68" s="78" t="s">
        <v>143</v>
      </c>
      <c r="C68" s="42">
        <v>445</v>
      </c>
      <c r="D68" s="42">
        <v>467</v>
      </c>
      <c r="E68" s="42">
        <v>420</v>
      </c>
      <c r="F68" s="42">
        <v>425</v>
      </c>
      <c r="G68" s="42">
        <v>477</v>
      </c>
      <c r="H68" s="243">
        <v>502</v>
      </c>
      <c r="I68" s="43">
        <f>'Supporting Schedules'!I79*'Financial Statements'!I$10</f>
        <v>700.68534436888524</v>
      </c>
      <c r="J68" s="43">
        <f>'Supporting Schedules'!J79*'Financial Statements'!J$10</f>
        <v>703.14787756681267</v>
      </c>
      <c r="K68" s="43">
        <f>'Supporting Schedules'!K79*'Financial Statements'!K$10</f>
        <v>713.68538205159655</v>
      </c>
      <c r="L68" s="43">
        <f>'Supporting Schedules'!L79*'Financial Statements'!L$10</f>
        <v>728.5009749241982</v>
      </c>
      <c r="M68" s="43">
        <f>'Supporting Schedules'!M79*'Financial Statements'!M$10</f>
        <v>743.22078228314365</v>
      </c>
      <c r="N68" s="43">
        <f>'Supporting Schedules'!N79*'Financial Statements'!N$10</f>
        <v>775.6845827216406</v>
      </c>
      <c r="O68" s="43">
        <f>'Supporting Schedules'!O79*'Financial Statements'!O$10</f>
        <v>792.94784670476281</v>
      </c>
      <c r="P68" s="43">
        <f>'Supporting Schedules'!P79*'Financial Statements'!P$10</f>
        <v>807.99593812324269</v>
      </c>
      <c r="Q68" s="43">
        <f>'Supporting Schedules'!Q79*'Financial Statements'!Q$10</f>
        <v>820.54608125221739</v>
      </c>
      <c r="R68"/>
      <c r="S68"/>
    </row>
    <row r="69" spans="2:19" ht="15.6">
      <c r="B69" s="78" t="s">
        <v>144</v>
      </c>
      <c r="C69" s="42">
        <v>5184</v>
      </c>
      <c r="D69" s="42">
        <v>6063</v>
      </c>
      <c r="E69" s="42">
        <v>6220</v>
      </c>
      <c r="F69" s="42">
        <v>5723</v>
      </c>
      <c r="G69" s="42">
        <v>5725</v>
      </c>
      <c r="H69" s="243">
        <v>5911</v>
      </c>
      <c r="I69" s="43">
        <f>'Supporting Schedules'!I80*'Financial Statements'!I$10</f>
        <v>5920.2434793688899</v>
      </c>
      <c r="J69" s="43">
        <f>'Supporting Schedules'!J80*'Financial Statements'!J$10</f>
        <v>6146.386277443411</v>
      </c>
      <c r="K69" s="43">
        <f>'Supporting Schedules'!K80*'Financial Statements'!K$10</f>
        <v>6461.8329337553942</v>
      </c>
      <c r="L69" s="43">
        <f>'Supporting Schedules'!L80*'Financial Statements'!L$10</f>
        <v>6840.8766393472761</v>
      </c>
      <c r="M69" s="43">
        <f>'Supporting Schedules'!M80*'Financial Statements'!M$10</f>
        <v>7248.2184422526325</v>
      </c>
      <c r="N69" s="43">
        <f>'Supporting Schedules'!N80*'Financial Statements'!N$10</f>
        <v>7868.2225140770497</v>
      </c>
      <c r="O69" s="43">
        <f>'Supporting Schedules'!O80*'Financial Statements'!O$10</f>
        <v>8379.407315127175</v>
      </c>
      <c r="P69" s="43">
        <f>'Supporting Schedules'!P80*'Financial Statements'!P$10</f>
        <v>8910.742948091116</v>
      </c>
      <c r="Q69" s="43">
        <f>'Supporting Schedules'!Q80*'Financial Statements'!Q$10</f>
        <v>9461.7249247850523</v>
      </c>
      <c r="R69"/>
      <c r="S69"/>
    </row>
    <row r="70" spans="2:19" ht="15.6">
      <c r="B70" s="78" t="s">
        <v>145</v>
      </c>
      <c r="C70" s="244">
        <v>156</v>
      </c>
      <c r="D70" s="244">
        <v>306</v>
      </c>
      <c r="E70" s="244">
        <v>222</v>
      </c>
      <c r="F70" s="244">
        <v>240</v>
      </c>
      <c r="G70" s="244">
        <v>534</v>
      </c>
      <c r="H70" s="390">
        <v>669</v>
      </c>
      <c r="I70" s="43">
        <f>'Supporting Schedules'!I81*'Financial Statements'!I$10</f>
        <v>821.81081884297328</v>
      </c>
      <c r="J70" s="43">
        <f>'Supporting Schedules'!J81*'Financial Statements'!J$10</f>
        <v>804.59772637991466</v>
      </c>
      <c r="K70" s="43">
        <f>'Supporting Schedules'!K81*'Financial Statements'!K$10</f>
        <v>794.79221097104755</v>
      </c>
      <c r="L70" s="43">
        <f>'Supporting Schedules'!L81*'Financial Statements'!L$10</f>
        <v>787.31706460967166</v>
      </c>
      <c r="M70" s="43">
        <f>'Supporting Schedules'!M81*'Financial Statements'!M$10</f>
        <v>776.88011629139021</v>
      </c>
      <c r="N70" s="43">
        <f>'Supporting Schedules'!N81*'Financial Statements'!N$10</f>
        <v>781.11266628863416</v>
      </c>
      <c r="O70" s="43">
        <f>'Supporting Schedules'!O81*'Financial Statements'!O$10</f>
        <v>765.59696240728044</v>
      </c>
      <c r="P70" s="43">
        <f>'Supporting Schedules'!P81*'Financial Statements'!P$10</f>
        <v>743.67825575799259</v>
      </c>
      <c r="Q70" s="43">
        <f>'Supporting Schedules'!Q81*'Financial Statements'!Q$10</f>
        <v>714.84038156022427</v>
      </c>
      <c r="R70"/>
      <c r="S70"/>
    </row>
    <row r="71" spans="2:19" ht="15.6">
      <c r="B71" s="79" t="s">
        <v>146</v>
      </c>
      <c r="C71" s="84">
        <f>SUM(C65:C70)</f>
        <v>8284</v>
      </c>
      <c r="D71" s="84">
        <f t="shared" ref="D71:Q71" si="26">SUM(D65:D70)</f>
        <v>9674</v>
      </c>
      <c r="E71" s="84">
        <f t="shared" si="26"/>
        <v>10730</v>
      </c>
      <c r="F71" s="84">
        <f t="shared" si="26"/>
        <v>9256</v>
      </c>
      <c r="G71" s="84">
        <f t="shared" si="26"/>
        <v>10593</v>
      </c>
      <c r="H71" s="236">
        <f t="shared" si="26"/>
        <v>10566</v>
      </c>
      <c r="I71" s="85">
        <f t="shared" si="26"/>
        <v>11378.403687442624</v>
      </c>
      <c r="J71" s="85">
        <f t="shared" si="26"/>
        <v>11424.145760878786</v>
      </c>
      <c r="K71" s="85">
        <f t="shared" si="26"/>
        <v>11649.363578744416</v>
      </c>
      <c r="L71" s="85">
        <f t="shared" si="26"/>
        <v>11990.811411371888</v>
      </c>
      <c r="M71" s="85">
        <f t="shared" si="26"/>
        <v>12377.282883601531</v>
      </c>
      <c r="N71" s="85">
        <f t="shared" si="26"/>
        <v>13111.488257392215</v>
      </c>
      <c r="O71" s="85">
        <f t="shared" si="26"/>
        <v>13645.193493524452</v>
      </c>
      <c r="P71" s="85">
        <f t="shared" si="26"/>
        <v>14196.730836216566</v>
      </c>
      <c r="Q71" s="85">
        <f t="shared" si="26"/>
        <v>14763.649844173464</v>
      </c>
      <c r="R71"/>
      <c r="S71"/>
    </row>
    <row r="72" spans="2:19" ht="15.6">
      <c r="B72" s="41"/>
      <c r="C72" s="90"/>
      <c r="D72" s="90"/>
      <c r="E72" s="90"/>
      <c r="F72" s="90"/>
      <c r="G72" s="90"/>
      <c r="H72" s="76"/>
      <c r="I72" s="90"/>
      <c r="J72" s="76"/>
      <c r="K72" s="76"/>
      <c r="L72" s="76"/>
      <c r="M72" s="76"/>
      <c r="N72" s="76"/>
      <c r="O72" s="76"/>
      <c r="P72" s="76"/>
      <c r="Q72" s="76"/>
      <c r="R72"/>
      <c r="S72"/>
    </row>
    <row r="73" spans="2:19" ht="15.6">
      <c r="B73" s="89" t="s">
        <v>147</v>
      </c>
      <c r="C73" s="90"/>
      <c r="D73" s="90"/>
      <c r="E73" s="90"/>
      <c r="F73" s="90"/>
      <c r="G73" s="90"/>
      <c r="H73" s="76"/>
      <c r="I73" s="90"/>
      <c r="J73" s="76"/>
      <c r="K73" s="76"/>
      <c r="L73" s="76"/>
      <c r="M73" s="76"/>
      <c r="N73" s="76"/>
      <c r="O73" s="76"/>
      <c r="P73" s="76"/>
      <c r="Q73" s="76"/>
      <c r="R73"/>
      <c r="S73"/>
    </row>
    <row r="74" spans="2:19" ht="15.6">
      <c r="B74" s="82" t="s">
        <v>148</v>
      </c>
      <c r="C74" s="42">
        <v>9406</v>
      </c>
      <c r="D74" s="42">
        <v>9413</v>
      </c>
      <c r="E74" s="42">
        <v>8920</v>
      </c>
      <c r="F74" s="42">
        <v>8927</v>
      </c>
      <c r="G74" s="42">
        <v>7903</v>
      </c>
      <c r="H74" s="243">
        <v>7961</v>
      </c>
      <c r="I74" s="43">
        <f>I$10*'Supporting Schedules'!I90</f>
        <v>9003.3353903384632</v>
      </c>
      <c r="J74" s="43">
        <f>J$10*'Supporting Schedules'!J90</f>
        <v>9347.2468298374934</v>
      </c>
      <c r="K74" s="43">
        <f>K$10*'Supporting Schedules'!K90</f>
        <v>9826.9689991088781</v>
      </c>
      <c r="L74" s="43">
        <f>L$10*'Supporting Schedules'!L90</f>
        <v>10403.407725139823</v>
      </c>
      <c r="M74" s="43">
        <f>M$10*'Supporting Schedules'!M90</f>
        <v>11022.881380715393</v>
      </c>
      <c r="N74" s="43">
        <f>N$10*'Supporting Schedules'!N90</f>
        <v>11965.765676177813</v>
      </c>
      <c r="O74" s="43">
        <f>O$10*'Supporting Schedules'!O90</f>
        <v>12743.160765811583</v>
      </c>
      <c r="P74" s="43">
        <f>P$10*'Supporting Schedules'!P90</f>
        <v>13551.200658948226</v>
      </c>
      <c r="Q74" s="43">
        <f>Q$10*'Supporting Schedules'!Q90</f>
        <v>14389.118144520284</v>
      </c>
      <c r="R74"/>
      <c r="S74"/>
    </row>
    <row r="75" spans="2:19" ht="15.6">
      <c r="B75" s="78" t="s">
        <v>149</v>
      </c>
      <c r="C75" s="42">
        <v>2913</v>
      </c>
      <c r="D75" s="42">
        <v>2931</v>
      </c>
      <c r="E75" s="42">
        <v>2777</v>
      </c>
      <c r="F75" s="42">
        <v>2786</v>
      </c>
      <c r="G75" s="42">
        <v>2566</v>
      </c>
      <c r="H75" s="243">
        <v>2550</v>
      </c>
      <c r="I75" s="43">
        <f>I$10*'Supporting Schedules'!I91</f>
        <v>2828.9835512670425</v>
      </c>
      <c r="J75" s="43">
        <f>J$10*'Supporting Schedules'!J91</f>
        <v>2937.0457041531131</v>
      </c>
      <c r="K75" s="43">
        <f>K$10*'Supporting Schedules'!K91</f>
        <v>3087.7816333625515</v>
      </c>
      <c r="L75" s="43">
        <f>L$10*'Supporting Schedules'!L91</f>
        <v>3268.9073610572932</v>
      </c>
      <c r="M75" s="43">
        <f>M$10*'Supporting Schedules'!M91</f>
        <v>3463.5553116320493</v>
      </c>
      <c r="N75" s="43">
        <f>N$10*'Supporting Schedules'!N91</f>
        <v>3759.8237551550583</v>
      </c>
      <c r="O75" s="43">
        <f>O$10*'Supporting Schedules'!O91</f>
        <v>4004.0929982813022</v>
      </c>
      <c r="P75" s="43">
        <f>P$10*'Supporting Schedules'!P91</f>
        <v>4257.9913001155528</v>
      </c>
      <c r="Q75" s="43">
        <f>Q$10*'Supporting Schedules'!Q91</f>
        <v>4521.2775913878004</v>
      </c>
      <c r="R75"/>
      <c r="S75"/>
    </row>
    <row r="76" spans="2:19" ht="15.6">
      <c r="B76" s="78" t="s">
        <v>150</v>
      </c>
      <c r="C76" s="42">
        <v>2684</v>
      </c>
      <c r="D76" s="42">
        <v>2955</v>
      </c>
      <c r="E76" s="42">
        <v>2613</v>
      </c>
      <c r="F76" s="42">
        <v>2558</v>
      </c>
      <c r="G76" s="42">
        <v>2618</v>
      </c>
      <c r="H76" s="243">
        <v>2289</v>
      </c>
      <c r="I76" s="43">
        <f>I$10*'Supporting Schedules'!I92</f>
        <v>2314.0851613168065</v>
      </c>
      <c r="J76" s="43">
        <f>J$10*'Supporting Schedules'!J92</f>
        <v>2402.4791091648262</v>
      </c>
      <c r="K76" s="43">
        <f>K$10*'Supporting Schedules'!K92</f>
        <v>2525.7798533153655</v>
      </c>
      <c r="L76" s="43">
        <f>L$10*'Supporting Schedules'!L92</f>
        <v>2673.939201432956</v>
      </c>
      <c r="M76" s="43">
        <f>M$10*'Supporting Schedules'!M92</f>
        <v>2833.1596160953286</v>
      </c>
      <c r="N76" s="43">
        <f>N$10*'Supporting Schedules'!N92</f>
        <v>3075.5047540216201</v>
      </c>
      <c r="O76" s="43">
        <f>O$10*'Supporting Schedules'!O92</f>
        <v>3275.3149758348081</v>
      </c>
      <c r="P76" s="43">
        <f>P$10*'Supporting Schedules'!P92</f>
        <v>3483.0016880799276</v>
      </c>
      <c r="Q76" s="43">
        <f>Q$10*'Supporting Schedules'!Q92</f>
        <v>3698.3676980867249</v>
      </c>
      <c r="R76"/>
      <c r="S76"/>
    </row>
    <row r="77" spans="2:19" s="98" customFormat="1" ht="15.6">
      <c r="B77" s="514" t="s">
        <v>151</v>
      </c>
      <c r="C77" s="390">
        <v>0</v>
      </c>
      <c r="D77" s="390">
        <v>0</v>
      </c>
      <c r="E77" s="390">
        <v>0</v>
      </c>
      <c r="F77" s="390">
        <v>0</v>
      </c>
      <c r="G77" s="390">
        <v>0</v>
      </c>
      <c r="H77" s="390">
        <v>0</v>
      </c>
      <c r="I77" s="43">
        <v>3606</v>
      </c>
      <c r="J77" s="43">
        <v>4049</v>
      </c>
      <c r="K77" s="43">
        <v>4302</v>
      </c>
      <c r="L77" s="43">
        <v>4451</v>
      </c>
      <c r="M77" s="43">
        <v>4599</v>
      </c>
      <c r="N77" s="43">
        <v>4271</v>
      </c>
      <c r="O77" s="43">
        <v>4346</v>
      </c>
      <c r="P77" s="43">
        <v>4467</v>
      </c>
      <c r="Q77" s="43">
        <v>4639</v>
      </c>
      <c r="R77" s="515"/>
      <c r="S77" s="515"/>
    </row>
    <row r="78" spans="2:19" ht="15.6">
      <c r="B78" s="83" t="s">
        <v>152</v>
      </c>
      <c r="C78" s="84">
        <f t="shared" ref="C78:Q78" si="27">SUM(C71,C74:C77)</f>
        <v>23287</v>
      </c>
      <c r="D78" s="84">
        <f t="shared" si="27"/>
        <v>24973</v>
      </c>
      <c r="E78" s="84">
        <f t="shared" si="27"/>
        <v>25040</v>
      </c>
      <c r="F78" s="84">
        <f t="shared" si="27"/>
        <v>23527</v>
      </c>
      <c r="G78" s="84">
        <f t="shared" si="27"/>
        <v>23680</v>
      </c>
      <c r="H78" s="236">
        <f t="shared" si="27"/>
        <v>23366</v>
      </c>
      <c r="I78" s="85">
        <f t="shared" si="27"/>
        <v>29130.807790364935</v>
      </c>
      <c r="J78" s="85">
        <f t="shared" si="27"/>
        <v>30159.917404034215</v>
      </c>
      <c r="K78" s="85">
        <f t="shared" si="27"/>
        <v>31391.894064531214</v>
      </c>
      <c r="L78" s="85">
        <f t="shared" si="27"/>
        <v>32788.065699001963</v>
      </c>
      <c r="M78" s="85">
        <f t="shared" si="27"/>
        <v>34295.879192044304</v>
      </c>
      <c r="N78" s="85">
        <f t="shared" si="27"/>
        <v>36183.582442746709</v>
      </c>
      <c r="O78" s="85">
        <f t="shared" si="27"/>
        <v>38013.762233452144</v>
      </c>
      <c r="P78" s="85">
        <f t="shared" si="27"/>
        <v>39955.924483360272</v>
      </c>
      <c r="Q78" s="85">
        <f t="shared" si="27"/>
        <v>42011.413278168271</v>
      </c>
      <c r="R78"/>
      <c r="S78"/>
    </row>
    <row r="79" spans="2:19" ht="15.6">
      <c r="B79" s="73"/>
      <c r="C79" s="74"/>
      <c r="D79" s="74"/>
      <c r="E79" s="74"/>
      <c r="F79" s="74"/>
      <c r="G79" s="74"/>
      <c r="H79" s="88"/>
      <c r="I79" s="74"/>
      <c r="J79" s="88"/>
      <c r="K79" s="88"/>
      <c r="L79" s="88"/>
      <c r="M79" s="88"/>
      <c r="N79" s="88"/>
      <c r="O79" s="88"/>
      <c r="P79" s="88"/>
      <c r="Q79" s="88"/>
      <c r="R79"/>
      <c r="S79"/>
    </row>
    <row r="80" spans="2:19" ht="15.6">
      <c r="B80" s="91" t="s">
        <v>153</v>
      </c>
      <c r="C80" s="92"/>
      <c r="D80" s="92"/>
      <c r="E80" s="92"/>
      <c r="F80" s="92"/>
      <c r="G80" s="92"/>
      <c r="H80" s="237"/>
      <c r="I80" s="92"/>
      <c r="J80" s="92"/>
      <c r="K80" s="92"/>
      <c r="L80" s="92"/>
      <c r="M80" s="92"/>
      <c r="N80" s="92"/>
      <c r="O80" s="92"/>
      <c r="P80" s="92"/>
      <c r="Q80" s="92"/>
      <c r="R80"/>
      <c r="S80"/>
    </row>
    <row r="81" spans="2:19" ht="15.6">
      <c r="B81" s="91"/>
      <c r="C81" s="74"/>
      <c r="D81" s="74"/>
      <c r="E81" s="74"/>
      <c r="F81" s="74"/>
      <c r="G81" s="74"/>
      <c r="H81" s="88"/>
      <c r="I81" s="74"/>
      <c r="J81" s="88"/>
      <c r="K81" s="88"/>
      <c r="L81" s="88"/>
      <c r="M81" s="88"/>
      <c r="N81" s="88"/>
      <c r="O81" s="88"/>
      <c r="P81" s="88"/>
      <c r="Q81" s="88"/>
      <c r="R81"/>
      <c r="S81"/>
    </row>
    <row r="82" spans="2:19" ht="15.6">
      <c r="B82" s="73" t="s">
        <v>154</v>
      </c>
      <c r="C82" s="42">
        <v>3</v>
      </c>
      <c r="D82" s="42">
        <v>3</v>
      </c>
      <c r="E82" s="42">
        <v>3</v>
      </c>
      <c r="F82" s="42">
        <v>3</v>
      </c>
      <c r="G82" s="42">
        <v>3</v>
      </c>
      <c r="H82" s="243">
        <v>3</v>
      </c>
      <c r="I82" s="43">
        <f>'Supporting Schedules'!I96*'Financial Statements'!I$10</f>
        <v>3.0708286529734226</v>
      </c>
      <c r="J82" s="43">
        <f>'Supporting Schedules'!J96*'Financial Statements'!J$10</f>
        <v>3.1881288596981725</v>
      </c>
      <c r="K82" s="43">
        <f>'Supporting Schedules'!K96*'Financial Statements'!K$10</f>
        <v>3.3517509529555198</v>
      </c>
      <c r="L82" s="43">
        <f>'Supporting Schedules'!L96*'Financial Statements'!L$10</f>
        <v>3.5483608180593875</v>
      </c>
      <c r="M82" s="43">
        <f>'Supporting Schedules'!M96*'Financial Statements'!M$10</f>
        <v>3.7596488984018146</v>
      </c>
      <c r="N82" s="43">
        <f>'Supporting Schedules'!N96*'Financial Statements'!N$10</f>
        <v>4.0812448387298588</v>
      </c>
      <c r="O82" s="43">
        <f>'Supporting Schedules'!O96*'Financial Statements'!O$10</f>
        <v>4.3463962534477858</v>
      </c>
      <c r="P82" s="43">
        <f>'Supporting Schedules'!P96*'Financial Statements'!P$10</f>
        <v>4.6219998990980793</v>
      </c>
      <c r="Q82" s="43">
        <f>'Supporting Schedules'!Q96*'Financial Statements'!Q$10</f>
        <v>4.9077940977995214</v>
      </c>
      <c r="R82"/>
      <c r="S82"/>
    </row>
    <row r="83" spans="2:19" ht="15.6">
      <c r="B83" s="73" t="s">
        <v>155</v>
      </c>
      <c r="C83" s="42">
        <v>8299</v>
      </c>
      <c r="D83" s="42">
        <v>9965</v>
      </c>
      <c r="E83" s="42">
        <v>11484</v>
      </c>
      <c r="F83" s="42">
        <v>12412</v>
      </c>
      <c r="G83" s="42">
        <v>13409</v>
      </c>
      <c r="H83" s="42">
        <v>14195</v>
      </c>
      <c r="I83" s="43">
        <f>'Supporting Schedules'!I97*'Financial Statements'!I$10</f>
        <v>11188.10846291481</v>
      </c>
      <c r="J83" s="43">
        <f>'Supporting Schedules'!J97*'Financial Statements'!J$10</f>
        <v>11615.474357878729</v>
      </c>
      <c r="K83" s="43">
        <f>'Supporting Schedules'!K97*'Financial Statements'!K$10</f>
        <v>12211.607171905915</v>
      </c>
      <c r="L83" s="43">
        <f>'Supporting Schedules'!L97*'Financial Statements'!L$10</f>
        <v>12927.926037021103</v>
      </c>
      <c r="M83" s="43">
        <f>'Supporting Schedules'!M97*'Financial Statements'!M$10</f>
        <v>13697.722800999842</v>
      </c>
      <c r="N83" s="43">
        <f>'Supporting Schedules'!N97*'Financial Statements'!N$10</f>
        <v>14869.409882315604</v>
      </c>
      <c r="O83" s="43">
        <f>'Supporting Schedules'!O97*'Financial Statements'!O$10</f>
        <v>15835.449711365338</v>
      </c>
      <c r="P83" s="43">
        <f>'Supporting Schedules'!P97*'Financial Statements'!P$10</f>
        <v>16839.57069262704</v>
      </c>
      <c r="Q83" s="43">
        <f>'Supporting Schedules'!Q97*'Financial Statements'!Q$10</f>
        <v>17880.819441575466</v>
      </c>
      <c r="R83"/>
      <c r="S83"/>
    </row>
    <row r="84" spans="2:19" ht="15.6">
      <c r="B84" s="73" t="s">
        <v>156</v>
      </c>
      <c r="C84" s="42">
        <v>-56</v>
      </c>
      <c r="D84" s="42">
        <v>-380</v>
      </c>
      <c r="E84" s="42">
        <v>318</v>
      </c>
      <c r="F84" s="42">
        <v>231</v>
      </c>
      <c r="G84" s="42">
        <v>53</v>
      </c>
      <c r="H84" s="42">
        <v>-258</v>
      </c>
      <c r="I84" s="43">
        <f>'Supporting Schedules'!I98*'Financial Statements'!I$10</f>
        <v>-25.362377828343092</v>
      </c>
      <c r="J84" s="43">
        <f>'Supporting Schedules'!J98*'Financial Statements'!J$10</f>
        <v>-26.331175667133355</v>
      </c>
      <c r="K84" s="43">
        <f>'Supporting Schedules'!K98*'Financial Statements'!K$10</f>
        <v>-27.682552060680749</v>
      </c>
      <c r="L84" s="43">
        <f>'Supporting Schedules'!L98*'Financial Statements'!L$10</f>
        <v>-29.30637880162103</v>
      </c>
      <c r="M84" s="43">
        <f>'Supporting Schedules'!M98*'Financial Statements'!M$10</f>
        <v>-31.051434853211909</v>
      </c>
      <c r="N84" s="43">
        <f>'Supporting Schedules'!N98*'Financial Statements'!N$10</f>
        <v>-33.707538031995078</v>
      </c>
      <c r="O84" s="43">
        <f>'Supporting Schedules'!O98*'Financial Statements'!O$10</f>
        <v>-35.8974584481942</v>
      </c>
      <c r="P84" s="43">
        <f>'Supporting Schedules'!P98*'Financial Statements'!P$10</f>
        <v>-38.173705214708924</v>
      </c>
      <c r="Q84" s="43">
        <f>'Supporting Schedules'!Q98*'Financial Statements'!Q$10</f>
        <v>-40.534117099493201</v>
      </c>
      <c r="R84"/>
      <c r="S84"/>
    </row>
    <row r="85" spans="2:19" ht="15.6">
      <c r="B85" s="107" t="s">
        <v>157</v>
      </c>
      <c r="C85" s="244">
        <v>-191</v>
      </c>
      <c r="D85" s="244">
        <v>3179</v>
      </c>
      <c r="E85" s="244">
        <v>3476</v>
      </c>
      <c r="F85" s="244">
        <v>1358</v>
      </c>
      <c r="G85" s="244">
        <v>965</v>
      </c>
      <c r="H85" s="244">
        <v>-727</v>
      </c>
      <c r="I85" s="391">
        <f>'Supporting Schedules'!I105</f>
        <v>-3544.6341211884655</v>
      </c>
      <c r="J85" s="391">
        <f>'Supporting Schedules'!J105</f>
        <v>-4771.6761644164708</v>
      </c>
      <c r="K85" s="391">
        <f>'Supporting Schedules'!K105</f>
        <v>-5904.6624831974186</v>
      </c>
      <c r="L85" s="391">
        <f>'Supporting Schedules'!L105</f>
        <v>-5786.9336016438974</v>
      </c>
      <c r="M85" s="391">
        <f>'Supporting Schedules'!M105</f>
        <v>-5485.9030543886493</v>
      </c>
      <c r="N85" s="391">
        <f>'Supporting Schedules'!N105</f>
        <v>-5132.893937521053</v>
      </c>
      <c r="O85" s="391">
        <f>'Supporting Schedules'!O105</f>
        <v>-4736.5547900900892</v>
      </c>
      <c r="P85" s="391">
        <f>'Supporting Schedules'!P105</f>
        <v>-4300.0772496205955</v>
      </c>
      <c r="Q85" s="391">
        <f>'Supporting Schedules'!Q105</f>
        <v>-3827.247667059105</v>
      </c>
      <c r="R85"/>
      <c r="S85"/>
    </row>
    <row r="86" spans="2:19" ht="15.6">
      <c r="B86" s="304" t="s">
        <v>158</v>
      </c>
      <c r="C86" s="84">
        <f>SUM(C82:C85)</f>
        <v>8055</v>
      </c>
      <c r="D86" s="84">
        <f t="shared" ref="D86:Q86" si="28">SUM(D82:D85)</f>
        <v>12767</v>
      </c>
      <c r="E86" s="84">
        <f t="shared" si="28"/>
        <v>15281</v>
      </c>
      <c r="F86" s="84">
        <f t="shared" si="28"/>
        <v>14004</v>
      </c>
      <c r="G86" s="84">
        <f t="shared" si="28"/>
        <v>14430</v>
      </c>
      <c r="H86" s="236">
        <f t="shared" si="28"/>
        <v>13213</v>
      </c>
      <c r="I86" s="85">
        <f>SUM(I82:I85)</f>
        <v>7621.1827925509742</v>
      </c>
      <c r="J86" s="85">
        <f t="shared" si="28"/>
        <v>6820.6551466548226</v>
      </c>
      <c r="K86" s="85">
        <f t="shared" si="28"/>
        <v>6282.6138876007717</v>
      </c>
      <c r="L86" s="85">
        <f t="shared" si="28"/>
        <v>7115.2344173936453</v>
      </c>
      <c r="M86" s="85">
        <f t="shared" si="28"/>
        <v>8184.5279606563818</v>
      </c>
      <c r="N86" s="85">
        <f t="shared" si="28"/>
        <v>9706.8896516012865</v>
      </c>
      <c r="O86" s="85">
        <f t="shared" si="28"/>
        <v>11067.343859080502</v>
      </c>
      <c r="P86" s="85">
        <f t="shared" si="28"/>
        <v>12505.941737690833</v>
      </c>
      <c r="Q86" s="85">
        <f t="shared" si="28"/>
        <v>14017.945451514664</v>
      </c>
      <c r="R86"/>
      <c r="S86"/>
    </row>
    <row r="87" spans="2:19" ht="15.6">
      <c r="B87" s="305"/>
      <c r="C87" s="74"/>
      <c r="D87" s="74"/>
      <c r="E87" s="74"/>
      <c r="F87" s="74"/>
      <c r="G87" s="74"/>
      <c r="H87" s="88"/>
      <c r="I87" s="74"/>
      <c r="J87" s="88"/>
      <c r="K87" s="88"/>
      <c r="L87" s="88"/>
      <c r="M87" s="88"/>
      <c r="N87" s="88"/>
      <c r="O87" s="88"/>
      <c r="P87" s="88"/>
      <c r="Q87" s="88"/>
      <c r="R87"/>
      <c r="S87"/>
    </row>
    <row r="88" spans="2:19" ht="15.6">
      <c r="B88" s="91" t="s">
        <v>159</v>
      </c>
      <c r="C88" s="93">
        <f>SUM(,C78,C86)</f>
        <v>31342</v>
      </c>
      <c r="D88" s="93">
        <f t="shared" ref="D88:Q88" si="29">SUM(,D78,D86)</f>
        <v>37740</v>
      </c>
      <c r="E88" s="93">
        <f t="shared" si="29"/>
        <v>40321</v>
      </c>
      <c r="F88" s="93">
        <f t="shared" si="29"/>
        <v>37531</v>
      </c>
      <c r="G88" s="93">
        <f t="shared" si="29"/>
        <v>38110</v>
      </c>
      <c r="H88" s="238">
        <f t="shared" si="29"/>
        <v>36579</v>
      </c>
      <c r="I88" s="94">
        <f t="shared" si="29"/>
        <v>36751.990582915911</v>
      </c>
      <c r="J88" s="94">
        <f t="shared" si="29"/>
        <v>36980.572550689038</v>
      </c>
      <c r="K88" s="94">
        <f t="shared" si="29"/>
        <v>37674.507952131986</v>
      </c>
      <c r="L88" s="94">
        <f t="shared" si="29"/>
        <v>39903.300116395607</v>
      </c>
      <c r="M88" s="94">
        <f t="shared" si="29"/>
        <v>42480.407152700689</v>
      </c>
      <c r="N88" s="94">
        <f t="shared" si="29"/>
        <v>45890.472094347992</v>
      </c>
      <c r="O88" s="94">
        <f t="shared" si="29"/>
        <v>49081.106092532646</v>
      </c>
      <c r="P88" s="94">
        <f t="shared" si="29"/>
        <v>52461.866221051103</v>
      </c>
      <c r="Q88" s="94">
        <f t="shared" si="29"/>
        <v>56029.358729682936</v>
      </c>
      <c r="R88"/>
      <c r="S88"/>
    </row>
    <row r="89" spans="2:19" ht="15.6">
      <c r="B89" s="73"/>
      <c r="C89" s="74"/>
      <c r="D89" s="74"/>
      <c r="E89" s="74"/>
      <c r="F89" s="74"/>
      <c r="G89" s="74"/>
      <c r="H89" s="88"/>
      <c r="I89" s="74"/>
      <c r="J89" s="88"/>
      <c r="K89" s="88"/>
      <c r="L89" s="88"/>
      <c r="M89" s="88"/>
      <c r="N89" s="88"/>
      <c r="O89" s="88"/>
      <c r="P89" s="88"/>
      <c r="Q89" s="88"/>
      <c r="R89"/>
      <c r="S89"/>
    </row>
    <row r="90" spans="2:19" ht="15.6">
      <c r="B90" s="95" t="s">
        <v>160</v>
      </c>
      <c r="C90" s="96">
        <f>ROUND(C60-C88,0)</f>
        <v>0</v>
      </c>
      <c r="D90" s="96">
        <f t="shared" ref="D90:Q90" si="30">ROUND(D60-D88,0)</f>
        <v>0</v>
      </c>
      <c r="E90" s="96">
        <f t="shared" si="30"/>
        <v>0</v>
      </c>
      <c r="F90" s="96">
        <f t="shared" si="30"/>
        <v>0</v>
      </c>
      <c r="G90" s="96">
        <f t="shared" si="30"/>
        <v>0</v>
      </c>
      <c r="H90" s="239">
        <f t="shared" si="30"/>
        <v>0</v>
      </c>
      <c r="I90" s="96">
        <f t="shared" si="30"/>
        <v>0</v>
      </c>
      <c r="J90" s="96">
        <f t="shared" si="30"/>
        <v>0</v>
      </c>
      <c r="K90" s="96">
        <f t="shared" si="30"/>
        <v>0</v>
      </c>
      <c r="L90" s="96">
        <f t="shared" si="30"/>
        <v>0</v>
      </c>
      <c r="M90" s="96">
        <f t="shared" si="30"/>
        <v>0</v>
      </c>
      <c r="N90" s="96">
        <f t="shared" si="30"/>
        <v>0</v>
      </c>
      <c r="O90" s="96">
        <f t="shared" si="30"/>
        <v>0</v>
      </c>
      <c r="P90" s="96">
        <f t="shared" si="30"/>
        <v>0</v>
      </c>
      <c r="Q90" s="97">
        <f t="shared" si="30"/>
        <v>0</v>
      </c>
      <c r="R90"/>
      <c r="S90"/>
    </row>
    <row r="91" spans="2:19" ht="15.6">
      <c r="B91" s="304"/>
      <c r="C91" s="84"/>
      <c r="D91" s="84"/>
      <c r="E91" s="84"/>
      <c r="F91" s="84"/>
      <c r="G91" s="84"/>
      <c r="H91" s="236"/>
      <c r="I91"/>
      <c r="J91"/>
      <c r="K91"/>
      <c r="L91"/>
      <c r="M91"/>
      <c r="N91"/>
      <c r="O91"/>
      <c r="P91"/>
      <c r="Q91"/>
      <c r="R91"/>
      <c r="S91"/>
    </row>
    <row r="92" spans="2:19" ht="15.6">
      <c r="B92" s="305" t="s">
        <v>161</v>
      </c>
      <c r="C92" s="74">
        <f>SUM(C46:C49)-SUM(C66:C70)</f>
        <v>3927</v>
      </c>
      <c r="D92" s="74">
        <f t="shared" ref="D92:Q92" si="31">SUM(D46:D49)-SUM(D66:D70)</f>
        <v>6728</v>
      </c>
      <c r="E92" s="74">
        <f t="shared" si="31"/>
        <v>9409</v>
      </c>
      <c r="F92" s="74">
        <f t="shared" si="31"/>
        <v>8505</v>
      </c>
      <c r="G92" s="74">
        <f t="shared" si="31"/>
        <v>5929</v>
      </c>
      <c r="H92" s="74">
        <f t="shared" si="31"/>
        <v>5332</v>
      </c>
      <c r="I92" s="74">
        <f>SUM(I46:I49)-SUM(I66:I70)</f>
        <v>4267.3045513152538</v>
      </c>
      <c r="J92" s="74">
        <f t="shared" si="31"/>
        <v>4747.0308853934403</v>
      </c>
      <c r="K92" s="74">
        <f t="shared" si="31"/>
        <v>5275.8811678558395</v>
      </c>
      <c r="L92" s="74">
        <f t="shared" si="31"/>
        <v>5846.9242857331155</v>
      </c>
      <c r="M92" s="74">
        <f t="shared" si="31"/>
        <v>6437.4980590017676</v>
      </c>
      <c r="N92" s="74">
        <f t="shared" si="31"/>
        <v>7312.6868953658632</v>
      </c>
      <c r="O92" s="74">
        <f t="shared" si="31"/>
        <v>8105.9049755730393</v>
      </c>
      <c r="P92" s="74">
        <f t="shared" si="31"/>
        <v>8933.5980770049518</v>
      </c>
      <c r="Q92" s="74">
        <f t="shared" si="31"/>
        <v>9796.9071005858514</v>
      </c>
      <c r="R92"/>
      <c r="S92"/>
    </row>
    <row r="93" spans="2:19" customFormat="1" ht="15.6"/>
    <row r="94" spans="2:19" s="34" customFormat="1" ht="15.6">
      <c r="B94" s="32" t="s">
        <v>162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/>
      <c r="S94"/>
    </row>
    <row r="95" spans="2:19">
      <c r="B95" s="41"/>
      <c r="C95" s="99"/>
      <c r="D95" s="99"/>
      <c r="E95" s="99"/>
      <c r="F95" s="100"/>
      <c r="G95" s="100"/>
      <c r="H95" s="240"/>
      <c r="I95" s="100"/>
      <c r="J95" s="101"/>
      <c r="K95" s="101"/>
      <c r="L95" s="101"/>
      <c r="M95" s="101"/>
      <c r="N95" s="101"/>
      <c r="O95" s="101"/>
      <c r="P95" s="101"/>
      <c r="Q95" s="101"/>
    </row>
    <row r="96" spans="2:19">
      <c r="B96" s="91" t="s">
        <v>163</v>
      </c>
      <c r="C96" s="42">
        <f t="shared" ref="C96:Q96" si="32">C37</f>
        <v>2539</v>
      </c>
      <c r="D96" s="42">
        <f t="shared" si="32"/>
        <v>5727</v>
      </c>
      <c r="E96" s="42">
        <f t="shared" si="32"/>
        <v>6046</v>
      </c>
      <c r="F96" s="42">
        <f t="shared" si="32"/>
        <v>5070</v>
      </c>
      <c r="G96" s="42">
        <f t="shared" si="32"/>
        <v>5700</v>
      </c>
      <c r="H96" s="243">
        <f t="shared" si="32"/>
        <v>3219</v>
      </c>
      <c r="I96" s="43">
        <f t="shared" si="32"/>
        <v>2420.3689680676998</v>
      </c>
      <c r="J96" s="43">
        <f t="shared" si="32"/>
        <v>3523.4864972392579</v>
      </c>
      <c r="K96" s="43">
        <f t="shared" si="32"/>
        <v>3942.8972674967263</v>
      </c>
      <c r="L96" s="43">
        <f t="shared" si="32"/>
        <v>6175.3766044802142</v>
      </c>
      <c r="M96" s="43">
        <f t="shared" si="32"/>
        <v>6810.9319606567105</v>
      </c>
      <c r="N96" s="43">
        <f t="shared" si="32"/>
        <v>7433.380626961145</v>
      </c>
      <c r="O96" s="43">
        <f t="shared" si="32"/>
        <v>7947.3017480236467</v>
      </c>
      <c r="P96" s="43">
        <f t="shared" si="32"/>
        <v>8474.0374142520177</v>
      </c>
      <c r="Q96" s="43">
        <f t="shared" si="32"/>
        <v>9012.2418537287413</v>
      </c>
    </row>
    <row r="97" spans="2:19">
      <c r="B97" s="73" t="s">
        <v>112</v>
      </c>
      <c r="C97" s="246">
        <f t="shared" ref="C97:Q97" si="33">C25</f>
        <v>1119</v>
      </c>
      <c r="D97" s="246">
        <f t="shared" si="33"/>
        <v>797</v>
      </c>
      <c r="E97" s="246">
        <f t="shared" si="33"/>
        <v>840</v>
      </c>
      <c r="F97" s="246">
        <f t="shared" si="33"/>
        <v>703</v>
      </c>
      <c r="G97" s="246">
        <f t="shared" si="33"/>
        <v>796</v>
      </c>
      <c r="H97" s="246">
        <f t="shared" si="33"/>
        <v>775</v>
      </c>
      <c r="I97" s="102">
        <f t="shared" si="33"/>
        <v>838.12555067339474</v>
      </c>
      <c r="J97" s="103">
        <f t="shared" si="33"/>
        <v>850.78682027274374</v>
      </c>
      <c r="K97" s="103">
        <f t="shared" si="33"/>
        <v>858.53776112494438</v>
      </c>
      <c r="L97" s="103">
        <f t="shared" si="33"/>
        <v>898.8970650939408</v>
      </c>
      <c r="M97" s="103">
        <f t="shared" si="33"/>
        <v>911.85794315217424</v>
      </c>
      <c r="N97" s="103">
        <f t="shared" si="33"/>
        <v>941.18300079634992</v>
      </c>
      <c r="O97" s="103">
        <f t="shared" si="33"/>
        <v>964.48070354403671</v>
      </c>
      <c r="P97" s="103">
        <f t="shared" si="33"/>
        <v>997.78944784449527</v>
      </c>
      <c r="Q97" s="103">
        <f t="shared" si="33"/>
        <v>1042.1105275801028</v>
      </c>
    </row>
    <row r="98" spans="2:19">
      <c r="B98" s="73" t="s">
        <v>164</v>
      </c>
      <c r="C98" s="246">
        <v>-380</v>
      </c>
      <c r="D98" s="246">
        <v>-385</v>
      </c>
      <c r="E98" s="246">
        <v>-650</v>
      </c>
      <c r="F98" s="246">
        <v>-117</v>
      </c>
      <c r="G98" s="246">
        <v>-497</v>
      </c>
      <c r="H98" s="246">
        <v>-288</v>
      </c>
      <c r="I98" s="102">
        <f>-'Supporting Schedules'!I111*'Financial Statements'!I76</f>
        <v>-340.17868140693713</v>
      </c>
      <c r="J98" s="102">
        <f>-'Supporting Schedules'!J111*'Financial Statements'!J76</f>
        <v>-353.17290354100157</v>
      </c>
      <c r="K98" s="102">
        <f>-'Supporting Schedules'!K111*'Financial Statements'!K76</f>
        <v>-371.29854786160928</v>
      </c>
      <c r="L98" s="102">
        <f>-'Supporting Schedules'!L111*'Financial Statements'!L76</f>
        <v>-393.07849465149894</v>
      </c>
      <c r="M98" s="102">
        <f>-'Supporting Schedules'!M111*'Financial Statements'!M76</f>
        <v>-416.4844572402269</v>
      </c>
      <c r="N98" s="102">
        <f>-'Supporting Schedules'!N111*'Financial Statements'!N76</f>
        <v>-452.11004736251789</v>
      </c>
      <c r="O98" s="102">
        <f>-'Supporting Schedules'!O111*'Financial Statements'!O76</f>
        <v>-481.48285477871497</v>
      </c>
      <c r="P98" s="102">
        <f>-'Supporting Schedules'!P111*'Financial Statements'!P76</f>
        <v>-512.01353407190209</v>
      </c>
      <c r="Q98" s="102">
        <f>-'Supporting Schedules'!Q111*'Financial Statements'!Q76</f>
        <v>-543.67309722397556</v>
      </c>
    </row>
    <row r="99" spans="2:19">
      <c r="B99" s="73" t="s">
        <v>165</v>
      </c>
      <c r="C99" s="246">
        <v>429</v>
      </c>
      <c r="D99" s="246">
        <v>611</v>
      </c>
      <c r="E99" s="246">
        <v>638</v>
      </c>
      <c r="F99" s="246">
        <v>755</v>
      </c>
      <c r="G99" s="246">
        <v>804</v>
      </c>
      <c r="H99" s="246">
        <v>709</v>
      </c>
      <c r="I99" s="102">
        <f>'Supporting Schedules'!I112*'Financial Statements'!I$10</f>
        <v>659.73836043370125</v>
      </c>
      <c r="J99" s="102">
        <f>'Supporting Schedules'!J112*'Financial Statements'!J$10</f>
        <v>684.93919539015121</v>
      </c>
      <c r="K99" s="102">
        <f>'Supporting Schedules'!K112*'Financial Statements'!K$10</f>
        <v>720.0918475681907</v>
      </c>
      <c r="L99" s="102">
        <f>'Supporting Schedules'!L112*'Financial Statements'!L$10</f>
        <v>762.33160911370067</v>
      </c>
      <c r="M99" s="102">
        <f>'Supporting Schedules'!M112*'Financial Statements'!M$10</f>
        <v>807.7248457468562</v>
      </c>
      <c r="N99" s="102">
        <f>'Supporting Schedules'!N112*'Financial Statements'!N$10</f>
        <v>876.81667807319559</v>
      </c>
      <c r="O99" s="102">
        <f>'Supporting Schedules'!O112*'Financial Statements'!O$10</f>
        <v>933.7819403463933</v>
      </c>
      <c r="P99" s="102">
        <f>'Supporting Schedules'!P112*'Financial Statements'!P$10</f>
        <v>992.99276512973529</v>
      </c>
      <c r="Q99" s="102">
        <f>'Supporting Schedules'!Q112*'Financial Statements'!Q$10</f>
        <v>1054.3929334166191</v>
      </c>
    </row>
    <row r="100" spans="2:19">
      <c r="B100" s="73" t="s">
        <v>166</v>
      </c>
      <c r="C100" s="104">
        <v>23</v>
      </c>
      <c r="D100" s="104">
        <v>-138</v>
      </c>
      <c r="E100" s="104">
        <v>-26</v>
      </c>
      <c r="F100" s="104">
        <v>-213</v>
      </c>
      <c r="G100" s="104">
        <v>-138</v>
      </c>
      <c r="H100" s="241">
        <v>37</v>
      </c>
      <c r="I100" s="102">
        <f>'Supporting Schedules'!I113*'Financial Statements'!I$10</f>
        <v>-70.9019176740874</v>
      </c>
      <c r="J100" s="102">
        <f>'Supporting Schedules'!J113*'Financial Statements'!J$10</f>
        <v>-73.610245145338084</v>
      </c>
      <c r="K100" s="102">
        <f>'Supporting Schedules'!K113*'Financial Statements'!K$10</f>
        <v>-77.388091940717288</v>
      </c>
      <c r="L100" s="102">
        <f>'Supporting Schedules'!L113*'Financial Statements'!L$10</f>
        <v>-81.927588618921732</v>
      </c>
      <c r="M100" s="102">
        <f>'Supporting Schedules'!M113*'Financial Statements'!M$10</f>
        <v>-86.805988481268059</v>
      </c>
      <c r="N100" s="102">
        <f>'Supporting Schedules'!N113*'Financial Statements'!N$10</f>
        <v>-94.231270534495366</v>
      </c>
      <c r="O100" s="102">
        <f>'Supporting Schedules'!O113*'Financial Statements'!O$10</f>
        <v>-100.35331311713665</v>
      </c>
      <c r="P100" s="102">
        <f>'Supporting Schedules'!P113*'Financial Statements'!P$10</f>
        <v>-106.71668574480002</v>
      </c>
      <c r="Q100" s="102">
        <f>'Supporting Schedules'!Q113*'Financial Statements'!Q$10</f>
        <v>-113.31534657481436</v>
      </c>
    </row>
    <row r="101" spans="2:19">
      <c r="B101" s="107" t="s">
        <v>167</v>
      </c>
      <c r="C101" s="108"/>
      <c r="D101" s="108">
        <f>-(D92-C92)</f>
        <v>-2801</v>
      </c>
      <c r="E101" s="108">
        <f t="shared" ref="E101:Q101" si="34">-(E92-D92)</f>
        <v>-2681</v>
      </c>
      <c r="F101" s="108">
        <f t="shared" si="34"/>
        <v>904</v>
      </c>
      <c r="G101" s="108">
        <f t="shared" si="34"/>
        <v>2576</v>
      </c>
      <c r="H101" s="242">
        <f>-(H92-G92)</f>
        <v>597</v>
      </c>
      <c r="I101" s="109">
        <f>-(I92-H92)</f>
        <v>1064.6954486847462</v>
      </c>
      <c r="J101" s="109">
        <f t="shared" si="34"/>
        <v>-479.72633407818648</v>
      </c>
      <c r="K101" s="109">
        <f t="shared" si="34"/>
        <v>-528.85028246239926</v>
      </c>
      <c r="L101" s="109">
        <f t="shared" si="34"/>
        <v>-571.04311787727602</v>
      </c>
      <c r="M101" s="109">
        <f t="shared" si="34"/>
        <v>-590.57377326865208</v>
      </c>
      <c r="N101" s="109">
        <f t="shared" si="34"/>
        <v>-875.18883636409555</v>
      </c>
      <c r="O101" s="109">
        <f t="shared" si="34"/>
        <v>-793.21808020717617</v>
      </c>
      <c r="P101" s="109">
        <f t="shared" si="34"/>
        <v>-827.69310143191251</v>
      </c>
      <c r="Q101" s="109">
        <f t="shared" si="34"/>
        <v>-863.30902358089952</v>
      </c>
    </row>
    <row r="102" spans="2:19">
      <c r="B102" s="91" t="s">
        <v>168</v>
      </c>
      <c r="C102" s="236">
        <f>SUM(C96:C101)</f>
        <v>3730</v>
      </c>
      <c r="D102" s="236">
        <f>SUM(D96:D101)</f>
        <v>3811</v>
      </c>
      <c r="E102" s="236">
        <f t="shared" ref="E102:Q102" si="35">SUM(E96:E101)</f>
        <v>4167</v>
      </c>
      <c r="F102" s="236">
        <f>SUM(F96:F101)</f>
        <v>7102</v>
      </c>
      <c r="G102" s="236">
        <f t="shared" si="35"/>
        <v>9241</v>
      </c>
      <c r="H102" s="236">
        <f t="shared" si="35"/>
        <v>5049</v>
      </c>
      <c r="I102" s="85">
        <f t="shared" si="35"/>
        <v>4571.8477287785172</v>
      </c>
      <c r="J102" s="85">
        <f t="shared" si="35"/>
        <v>4152.7030301376271</v>
      </c>
      <c r="K102" s="85">
        <f t="shared" si="35"/>
        <v>4543.9899539251355</v>
      </c>
      <c r="L102" s="85">
        <f t="shared" si="35"/>
        <v>6790.5560775401591</v>
      </c>
      <c r="M102" s="85">
        <f t="shared" si="35"/>
        <v>7436.6505305655928</v>
      </c>
      <c r="N102" s="85">
        <f t="shared" si="35"/>
        <v>7829.8501515695825</v>
      </c>
      <c r="O102" s="85">
        <f t="shared" si="35"/>
        <v>8470.5101438110487</v>
      </c>
      <c r="P102" s="85">
        <f t="shared" si="35"/>
        <v>9018.3963059776343</v>
      </c>
      <c r="Q102" s="85">
        <f t="shared" si="35"/>
        <v>9588.447847345773</v>
      </c>
      <c r="R102" s="104"/>
      <c r="S102" s="104"/>
    </row>
    <row r="103" spans="2:19">
      <c r="B103" s="73"/>
      <c r="C103" s="104"/>
      <c r="D103" s="104"/>
      <c r="E103" s="104"/>
      <c r="F103" s="104"/>
      <c r="G103" s="104"/>
      <c r="H103" s="241"/>
      <c r="I103" s="104"/>
      <c r="J103" s="110"/>
      <c r="K103" s="110"/>
      <c r="L103" s="110"/>
      <c r="M103" s="110"/>
      <c r="N103" s="110"/>
      <c r="O103" s="110"/>
      <c r="P103" s="110"/>
      <c r="Q103" s="110"/>
    </row>
    <row r="104" spans="2:19">
      <c r="B104" s="73" t="s">
        <v>169</v>
      </c>
      <c r="C104" s="104">
        <v>-2426</v>
      </c>
      <c r="D104" s="104">
        <v>-9961</v>
      </c>
      <c r="E104" s="104">
        <v>-12913</v>
      </c>
      <c r="F104" s="104">
        <v>-6059</v>
      </c>
      <c r="G104" s="104">
        <v>-4767</v>
      </c>
      <c r="H104" s="241">
        <v>-3234</v>
      </c>
      <c r="I104" s="106">
        <f>AVERAGE(C104:H104)</f>
        <v>-6560</v>
      </c>
      <c r="J104" s="106">
        <f>I104</f>
        <v>-6560</v>
      </c>
      <c r="K104" s="106">
        <f t="shared" ref="K104:Q104" si="36">J104</f>
        <v>-6560</v>
      </c>
      <c r="L104" s="106">
        <f t="shared" si="36"/>
        <v>-6560</v>
      </c>
      <c r="M104" s="106">
        <f t="shared" si="36"/>
        <v>-6560</v>
      </c>
      <c r="N104" s="106">
        <f t="shared" si="36"/>
        <v>-6560</v>
      </c>
      <c r="O104" s="106">
        <f t="shared" si="36"/>
        <v>-6560</v>
      </c>
      <c r="P104" s="106">
        <f t="shared" si="36"/>
        <v>-6560</v>
      </c>
      <c r="Q104" s="106">
        <f t="shared" si="36"/>
        <v>-6560</v>
      </c>
    </row>
    <row r="105" spans="2:19">
      <c r="B105" s="73" t="s">
        <v>170</v>
      </c>
      <c r="C105" s="104">
        <v>74</v>
      </c>
      <c r="D105" s="104">
        <v>4236</v>
      </c>
      <c r="E105" s="104">
        <v>8199</v>
      </c>
      <c r="F105" s="104">
        <v>3356</v>
      </c>
      <c r="G105" s="104">
        <v>2269</v>
      </c>
      <c r="H105" s="241">
        <v>319</v>
      </c>
      <c r="I105" s="106">
        <f>AVERAGE(C105:H105)</f>
        <v>3075.5</v>
      </c>
      <c r="J105" s="106">
        <f>I105</f>
        <v>3075.5</v>
      </c>
      <c r="K105" s="106">
        <f t="shared" ref="K105:Q105" si="37">J105</f>
        <v>3075.5</v>
      </c>
      <c r="L105" s="106">
        <f t="shared" si="37"/>
        <v>3075.5</v>
      </c>
      <c r="M105" s="106">
        <f t="shared" si="37"/>
        <v>3075.5</v>
      </c>
      <c r="N105" s="106">
        <f t="shared" si="37"/>
        <v>3075.5</v>
      </c>
      <c r="O105" s="106">
        <f t="shared" si="37"/>
        <v>3075.5</v>
      </c>
      <c r="P105" s="106">
        <f t="shared" si="37"/>
        <v>3075.5</v>
      </c>
      <c r="Q105" s="106">
        <f t="shared" si="37"/>
        <v>3075.5</v>
      </c>
    </row>
    <row r="106" spans="2:19">
      <c r="B106" s="73" t="s">
        <v>171</v>
      </c>
      <c r="C106" s="104">
        <v>2379</v>
      </c>
      <c r="D106" s="104">
        <v>2449</v>
      </c>
      <c r="E106" s="104">
        <v>3967</v>
      </c>
      <c r="F106" s="104">
        <v>4184</v>
      </c>
      <c r="G106" s="104">
        <v>4219</v>
      </c>
      <c r="H106" s="241">
        <v>3062</v>
      </c>
      <c r="I106" s="106">
        <f>AVERAGE(C106:H106)</f>
        <v>3376.6666666666665</v>
      </c>
      <c r="J106" s="106">
        <f>I106</f>
        <v>3376.6666666666665</v>
      </c>
      <c r="K106" s="106">
        <f t="shared" ref="K106:Q106" si="38">J106</f>
        <v>3376.6666666666665</v>
      </c>
      <c r="L106" s="106">
        <f t="shared" si="38"/>
        <v>3376.6666666666665</v>
      </c>
      <c r="M106" s="106">
        <f t="shared" si="38"/>
        <v>3376.6666666666665</v>
      </c>
      <c r="N106" s="106">
        <f t="shared" si="38"/>
        <v>3376.6666666666665</v>
      </c>
      <c r="O106" s="106">
        <f t="shared" si="38"/>
        <v>3376.6666666666665</v>
      </c>
      <c r="P106" s="106">
        <f t="shared" si="38"/>
        <v>3376.6666666666665</v>
      </c>
      <c r="Q106" s="106">
        <f t="shared" si="38"/>
        <v>3376.6666666666665</v>
      </c>
    </row>
    <row r="107" spans="2:19">
      <c r="B107" s="73" t="s">
        <v>172</v>
      </c>
      <c r="C107" s="104">
        <v>-1086</v>
      </c>
      <c r="D107" s="104">
        <v>-695</v>
      </c>
      <c r="E107" s="104">
        <v>-758</v>
      </c>
      <c r="F107" s="104">
        <v>-969</v>
      </c>
      <c r="G107" s="104">
        <v>-812</v>
      </c>
      <c r="H107" s="241">
        <v>-430</v>
      </c>
      <c r="I107" s="106">
        <f>-'Supporting Schedules'!I61</f>
        <v>-818.36686062461115</v>
      </c>
      <c r="J107" s="106">
        <f>-'Supporting Schedules'!J61</f>
        <v>-849.62702287267473</v>
      </c>
      <c r="K107" s="106">
        <f>-'Supporting Schedules'!K61</f>
        <v>-893.23183249244516</v>
      </c>
      <c r="L107" s="106">
        <f>-'Supporting Schedules'!L61</f>
        <v>-810.38592311053185</v>
      </c>
      <c r="M107" s="106">
        <f>-'Supporting Schedules'!M61</f>
        <v>-858.64056653887212</v>
      </c>
      <c r="N107" s="106">
        <f>-'Supporting Schedules'!N61</f>
        <v>-932.08766967588463</v>
      </c>
      <c r="O107" s="106">
        <f>-'Supporting Schedules'!O61</f>
        <v>-992.64379262895193</v>
      </c>
      <c r="P107" s="106">
        <f>-'Supporting Schedules'!P61</f>
        <v>-1055.5870293077655</v>
      </c>
      <c r="Q107" s="106">
        <f>-'Supporting Schedules'!Q61</f>
        <v>-1120.857616885995</v>
      </c>
    </row>
    <row r="108" spans="2:19">
      <c r="B108" s="73" t="s">
        <v>173</v>
      </c>
      <c r="C108" s="104">
        <v>31</v>
      </c>
      <c r="D108" s="104">
        <v>171</v>
      </c>
      <c r="E108" s="104">
        <v>-19</v>
      </c>
      <c r="F108" s="104">
        <v>52</v>
      </c>
      <c r="G108" s="104">
        <v>-15</v>
      </c>
      <c r="H108" s="241">
        <v>8</v>
      </c>
      <c r="I108" s="105">
        <v>0</v>
      </c>
      <c r="J108" s="106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0</v>
      </c>
      <c r="Q108" s="106">
        <v>0</v>
      </c>
    </row>
    <row r="109" spans="2:19">
      <c r="B109" s="83" t="s">
        <v>174</v>
      </c>
      <c r="C109" s="236">
        <f>SUM(C104:C108)</f>
        <v>-1028</v>
      </c>
      <c r="D109" s="236">
        <f t="shared" ref="D109:H109" si="39">SUM(D104:D108)</f>
        <v>-3800</v>
      </c>
      <c r="E109" s="236">
        <f t="shared" si="39"/>
        <v>-1524</v>
      </c>
      <c r="F109" s="236">
        <f t="shared" si="39"/>
        <v>564</v>
      </c>
      <c r="G109" s="236">
        <f t="shared" si="39"/>
        <v>894</v>
      </c>
      <c r="H109" s="236">
        <f t="shared" si="39"/>
        <v>-275</v>
      </c>
      <c r="I109" s="85">
        <f t="shared" ref="I109:Q109" si="40">SUM(I104:I107)</f>
        <v>-926.20019395794463</v>
      </c>
      <c r="J109" s="85">
        <f t="shared" si="40"/>
        <v>-957.46035620600821</v>
      </c>
      <c r="K109" s="85">
        <f t="shared" si="40"/>
        <v>-1001.0651658257786</v>
      </c>
      <c r="L109" s="85">
        <f t="shared" si="40"/>
        <v>-918.21925644386533</v>
      </c>
      <c r="M109" s="85">
        <f t="shared" si="40"/>
        <v>-966.47389987220561</v>
      </c>
      <c r="N109" s="85">
        <f t="shared" si="40"/>
        <v>-1039.9210030092181</v>
      </c>
      <c r="O109" s="85">
        <f t="shared" si="40"/>
        <v>-1100.4771259622853</v>
      </c>
      <c r="P109" s="85">
        <f t="shared" si="40"/>
        <v>-1163.420362641099</v>
      </c>
      <c r="Q109" s="85">
        <f t="shared" si="40"/>
        <v>-1228.6909502193284</v>
      </c>
    </row>
    <row r="110" spans="2:19">
      <c r="B110" s="111"/>
      <c r="C110" s="93"/>
      <c r="D110" s="93"/>
      <c r="E110" s="93"/>
      <c r="F110" s="93"/>
      <c r="G110" s="93"/>
      <c r="H110" s="238"/>
      <c r="I110" s="93"/>
      <c r="J110" s="93"/>
      <c r="K110" s="93"/>
      <c r="L110" s="93"/>
      <c r="M110" s="93"/>
      <c r="N110" s="93"/>
      <c r="O110" s="93"/>
      <c r="P110" s="93"/>
      <c r="Q110" s="93"/>
    </row>
    <row r="111" spans="2:19">
      <c r="B111" s="111"/>
      <c r="C111" s="93"/>
      <c r="D111" s="93"/>
      <c r="E111" s="93"/>
      <c r="F111" s="93"/>
      <c r="G111" s="93"/>
      <c r="H111" s="238"/>
      <c r="I111" s="93"/>
      <c r="J111" s="93"/>
      <c r="K111" s="93"/>
      <c r="L111" s="93"/>
      <c r="M111" s="93"/>
      <c r="N111" s="93"/>
      <c r="O111" s="93"/>
      <c r="P111" s="93"/>
      <c r="Q111" s="93"/>
    </row>
    <row r="112" spans="2:19">
      <c r="B112" s="112" t="s">
        <v>175</v>
      </c>
      <c r="C112" s="243">
        <v>6134</v>
      </c>
      <c r="D112" s="243">
        <v>0</v>
      </c>
      <c r="E112" s="243">
        <v>0</v>
      </c>
      <c r="F112" s="243">
        <v>0</v>
      </c>
      <c r="G112" s="243">
        <v>0</v>
      </c>
      <c r="H112" s="243">
        <v>0</v>
      </c>
      <c r="I112" s="113">
        <v>0</v>
      </c>
      <c r="J112" s="113">
        <v>0</v>
      </c>
      <c r="K112" s="113">
        <v>0</v>
      </c>
      <c r="L112" s="113">
        <v>0</v>
      </c>
      <c r="M112" s="113">
        <v>0</v>
      </c>
      <c r="N112" s="113">
        <v>0</v>
      </c>
      <c r="O112" s="113">
        <v>0</v>
      </c>
      <c r="P112" s="113">
        <v>0</v>
      </c>
      <c r="Q112" s="113">
        <v>0</v>
      </c>
    </row>
    <row r="113" spans="2:17">
      <c r="B113" s="112" t="s">
        <v>176</v>
      </c>
      <c r="C113" s="243">
        <v>49</v>
      </c>
      <c r="D113" s="243">
        <v>-52</v>
      </c>
      <c r="E113" s="243">
        <v>15</v>
      </c>
      <c r="F113" s="243">
        <v>0</v>
      </c>
      <c r="G113" s="243">
        <v>0</v>
      </c>
      <c r="H113" s="243">
        <v>0</v>
      </c>
      <c r="I113" s="113">
        <v>0</v>
      </c>
      <c r="J113" s="113">
        <v>0</v>
      </c>
      <c r="K113" s="113">
        <v>0</v>
      </c>
      <c r="L113" s="113">
        <v>0</v>
      </c>
      <c r="M113" s="113">
        <v>0</v>
      </c>
      <c r="N113" s="113">
        <v>0</v>
      </c>
      <c r="O113" s="113">
        <v>0</v>
      </c>
      <c r="P113" s="113">
        <v>0</v>
      </c>
      <c r="Q113" s="113">
        <v>0</v>
      </c>
    </row>
    <row r="114" spans="2:17">
      <c r="B114" s="112" t="s">
        <v>177</v>
      </c>
      <c r="C114" s="243">
        <v>-6</v>
      </c>
      <c r="D114" s="243">
        <v>-197</v>
      </c>
      <c r="E114" s="243">
        <v>0</v>
      </c>
      <c r="F114" s="243">
        <v>-500</v>
      </c>
      <c r="G114" s="243">
        <v>0</v>
      </c>
      <c r="H114" s="243">
        <v>-1000</v>
      </c>
      <c r="I114" s="113">
        <v>0</v>
      </c>
      <c r="J114" s="113">
        <v>0</v>
      </c>
      <c r="K114" s="113">
        <v>0</v>
      </c>
      <c r="L114" s="113">
        <v>0</v>
      </c>
      <c r="M114" s="113">
        <v>0</v>
      </c>
      <c r="N114" s="113">
        <v>0</v>
      </c>
      <c r="O114" s="113">
        <v>0</v>
      </c>
      <c r="P114" s="113">
        <v>0</v>
      </c>
      <c r="Q114" s="113">
        <v>0</v>
      </c>
    </row>
    <row r="115" spans="2:17">
      <c r="B115" s="112" t="s">
        <v>178</v>
      </c>
      <c r="C115" s="243">
        <v>885</v>
      </c>
      <c r="D115" s="243">
        <v>1172</v>
      </c>
      <c r="E115" s="243">
        <v>1151</v>
      </c>
      <c r="F115" s="243">
        <v>651</v>
      </c>
      <c r="G115" s="243">
        <v>667</v>
      </c>
      <c r="H115" s="243">
        <v>551</v>
      </c>
      <c r="I115" s="113">
        <f>'Supporting Schedules'!I116*'Financial Statements'!I$10</f>
        <v>875.5655385982592</v>
      </c>
      <c r="J115" s="113">
        <f>'Supporting Schedules'!J116*'Financial Statements'!J$10</f>
        <v>909.01058887131705</v>
      </c>
      <c r="K115" s="113">
        <f>'Supporting Schedules'!K116*'Financial Statements'!K$10</f>
        <v>955.66309944715988</v>
      </c>
      <c r="L115" s="113">
        <f>'Supporting Schedules'!L116*'Financial Statements'!L$10</f>
        <v>1011.7212003336143</v>
      </c>
      <c r="M115" s="113">
        <f>'Supporting Schedules'!M116*'Financial Statements'!M$10</f>
        <v>1071.9644059209013</v>
      </c>
      <c r="N115" s="113">
        <f>'Supporting Schedules'!N116*'Financial Statements'!N$10</f>
        <v>1163.6589791207739</v>
      </c>
      <c r="O115" s="113">
        <f>'Supporting Schedules'!O116*'Financial Statements'!O$10</f>
        <v>1239.2598893222594</v>
      </c>
      <c r="P115" s="113">
        <f>'Supporting Schedules'!P116*'Financial Statements'!P$10</f>
        <v>1317.8409766160059</v>
      </c>
      <c r="Q115" s="113">
        <f>'Supporting Schedules'!Q116*'Financial Statements'!Q$10</f>
        <v>1399.3276304779829</v>
      </c>
    </row>
    <row r="116" spans="2:17">
      <c r="B116" s="114" t="s">
        <v>179</v>
      </c>
      <c r="C116" s="243">
        <v>-3067</v>
      </c>
      <c r="D116" s="243">
        <v>-608</v>
      </c>
      <c r="E116" s="243">
        <v>-4014</v>
      </c>
      <c r="F116" s="243">
        <v>-5480</v>
      </c>
      <c r="G116" s="243">
        <v>-4250</v>
      </c>
      <c r="H116" s="243">
        <v>-2985</v>
      </c>
      <c r="I116" s="113">
        <f>-'Supporting Schedules'!I117*'Financial Statements'!I$10</f>
        <v>-3400.3180096411857</v>
      </c>
      <c r="J116" s="113">
        <f>-'Supporting Schedules'!J117*'Financial Statements'!J$10</f>
        <v>-3530.2041252584131</v>
      </c>
      <c r="K116" s="113">
        <f>-'Supporting Schedules'!K117*'Financial Statements'!K$10</f>
        <v>-3711.3823065742049</v>
      </c>
      <c r="L116" s="113">
        <f>-'Supporting Schedules'!L117*'Financial Statements'!L$10</f>
        <v>-3929.0877342406025</v>
      </c>
      <c r="M116" s="113">
        <f>-'Supporting Schedules'!M117*'Financial Statements'!M$10</f>
        <v>-4163.0462991755785</v>
      </c>
      <c r="N116" s="113">
        <f>-'Supporting Schedules'!N117*'Financial Statements'!N$10</f>
        <v>-4519.1483782238829</v>
      </c>
      <c r="O116" s="113">
        <f>-'Supporting Schedules'!O117*'Financial Statements'!O$10</f>
        <v>-4812.7496281256663</v>
      </c>
      <c r="P116" s="113">
        <f>-'Supporting Schedules'!P117*'Financial Statements'!P$10</f>
        <v>-5117.924597403111</v>
      </c>
      <c r="Q116" s="113">
        <f>-'Supporting Schedules'!Q117*'Financial Statements'!Q$10</f>
        <v>-5434.3835310380173</v>
      </c>
    </row>
    <row r="117" spans="2:17">
      <c r="B117" s="114" t="s">
        <v>180</v>
      </c>
      <c r="C117" s="64">
        <v>-1452</v>
      </c>
      <c r="D117" s="64">
        <v>-1638</v>
      </c>
      <c r="E117" s="64">
        <v>-1837</v>
      </c>
      <c r="F117" s="64">
        <v>-2012</v>
      </c>
      <c r="G117" s="64">
        <v>-2169</v>
      </c>
      <c r="H117" s="235">
        <v>-2300</v>
      </c>
      <c r="I117" s="306">
        <f>'Supporting Schedules'!I103</f>
        <v>-827.29504090722628</v>
      </c>
      <c r="J117" s="306">
        <f>'Supporting Schedules'!J103</f>
        <v>-1204.3465043252352</v>
      </c>
      <c r="K117" s="306">
        <f>'Supporting Schedules'!K103</f>
        <v>-1347.7033457468519</v>
      </c>
      <c r="L117" s="306">
        <f>'Supporting Schedules'!L103</f>
        <v>-2110.776707197515</v>
      </c>
      <c r="M117" s="306">
        <f>'Supporting Schedules'!M103</f>
        <v>-2328.0129225529809</v>
      </c>
      <c r="N117" s="306">
        <f>'Supporting Schedules'!N103</f>
        <v>-2540.7692013050109</v>
      </c>
      <c r="O117" s="306">
        <f>'Supporting Schedules'!O103</f>
        <v>-2716.4301854284026</v>
      </c>
      <c r="P117" s="306">
        <f>'Supporting Schedules'!P103</f>
        <v>-2896.471249534256</v>
      </c>
      <c r="Q117" s="306">
        <f>'Supporting Schedules'!Q103</f>
        <v>-3080.432401593157</v>
      </c>
    </row>
    <row r="118" spans="2:17">
      <c r="B118" s="392" t="s">
        <v>181</v>
      </c>
      <c r="C118" s="393">
        <v>-52</v>
      </c>
      <c r="D118" s="393">
        <v>-136</v>
      </c>
      <c r="E118" s="393">
        <v>-151</v>
      </c>
      <c r="F118" s="393">
        <v>-102</v>
      </c>
      <c r="G118" s="393">
        <v>-136</v>
      </c>
      <c r="H118" s="235">
        <v>-85</v>
      </c>
      <c r="I118" s="115">
        <v>0</v>
      </c>
      <c r="J118" s="115">
        <v>0</v>
      </c>
      <c r="K118" s="115">
        <v>0</v>
      </c>
      <c r="L118" s="115">
        <v>0</v>
      </c>
      <c r="M118" s="115">
        <v>0</v>
      </c>
      <c r="N118" s="115">
        <v>0</v>
      </c>
      <c r="O118" s="115">
        <v>0</v>
      </c>
      <c r="P118" s="115">
        <v>0</v>
      </c>
      <c r="Q118" s="115">
        <v>0</v>
      </c>
    </row>
    <row r="119" spans="2:17">
      <c r="B119" s="91" t="s">
        <v>182</v>
      </c>
      <c r="C119" s="236">
        <f>SUM(C112:C118)</f>
        <v>2491</v>
      </c>
      <c r="D119" s="236">
        <f t="shared" ref="D119:Q119" si="41">SUM(D112:D118)</f>
        <v>-1459</v>
      </c>
      <c r="E119" s="236">
        <f t="shared" si="41"/>
        <v>-4836</v>
      </c>
      <c r="F119" s="236">
        <f t="shared" si="41"/>
        <v>-7443</v>
      </c>
      <c r="G119" s="236">
        <f t="shared" si="41"/>
        <v>-5888</v>
      </c>
      <c r="H119" s="236">
        <f t="shared" si="41"/>
        <v>-5819</v>
      </c>
      <c r="I119" s="85">
        <f>SUM(I112:I118)</f>
        <v>-3352.047511950153</v>
      </c>
      <c r="J119" s="85">
        <f t="shared" si="41"/>
        <v>-3825.5400407123316</v>
      </c>
      <c r="K119" s="85">
        <f t="shared" si="41"/>
        <v>-4103.4225528738971</v>
      </c>
      <c r="L119" s="85">
        <f t="shared" si="41"/>
        <v>-5028.1432411045025</v>
      </c>
      <c r="M119" s="85">
        <f t="shared" si="41"/>
        <v>-5419.0948158076581</v>
      </c>
      <c r="N119" s="85">
        <f t="shared" si="41"/>
        <v>-5896.2586004081204</v>
      </c>
      <c r="O119" s="85">
        <f t="shared" si="41"/>
        <v>-6289.91992423181</v>
      </c>
      <c r="P119" s="85">
        <f t="shared" si="41"/>
        <v>-6696.5548703213608</v>
      </c>
      <c r="Q119" s="85">
        <f t="shared" si="41"/>
        <v>-7115.4883021531914</v>
      </c>
    </row>
    <row r="120" spans="2:17">
      <c r="B120" s="82"/>
      <c r="C120" s="73"/>
      <c r="D120" s="73"/>
      <c r="E120" s="73"/>
      <c r="F120" s="73"/>
      <c r="G120" s="73"/>
      <c r="H120" s="114"/>
      <c r="I120" s="73"/>
      <c r="J120" s="41"/>
      <c r="K120" s="41"/>
      <c r="L120" s="41"/>
      <c r="M120" s="41"/>
      <c r="N120" s="41"/>
      <c r="O120" s="41"/>
      <c r="P120" s="41"/>
      <c r="Q120" s="41"/>
    </row>
    <row r="121" spans="2:17">
      <c r="B121" s="116" t="s">
        <v>183</v>
      </c>
      <c r="C121" s="93">
        <v>-66</v>
      </c>
      <c r="D121" s="93">
        <v>143</v>
      </c>
      <c r="E121" s="93">
        <v>-143</v>
      </c>
      <c r="F121" s="93">
        <v>1</v>
      </c>
      <c r="G121" s="93">
        <v>-16</v>
      </c>
      <c r="H121" s="238">
        <v>-91</v>
      </c>
      <c r="I121" s="94">
        <v>0</v>
      </c>
      <c r="J121" s="94">
        <v>0</v>
      </c>
      <c r="K121" s="94">
        <v>0</v>
      </c>
      <c r="L121" s="94">
        <v>0</v>
      </c>
      <c r="M121" s="94">
        <v>0</v>
      </c>
      <c r="N121" s="94">
        <v>0</v>
      </c>
      <c r="O121" s="94">
        <v>0</v>
      </c>
      <c r="P121" s="94">
        <v>0</v>
      </c>
      <c r="Q121" s="94">
        <v>0</v>
      </c>
    </row>
    <row r="122" spans="2:17">
      <c r="B122" s="73"/>
      <c r="C122" s="41"/>
      <c r="D122" s="41"/>
      <c r="E122" s="41"/>
      <c r="F122" s="73"/>
      <c r="G122" s="73"/>
      <c r="H122" s="114"/>
      <c r="I122" s="73"/>
      <c r="J122" s="73"/>
      <c r="K122" s="73"/>
      <c r="L122" s="73"/>
      <c r="M122" s="73"/>
      <c r="N122" s="73"/>
      <c r="O122" s="73"/>
      <c r="P122" s="73"/>
      <c r="Q122" s="73"/>
    </row>
    <row r="123" spans="2:17">
      <c r="B123" s="83" t="s">
        <v>184</v>
      </c>
      <c r="C123" s="236">
        <f>SUM(C121,C119,C109,C102)</f>
        <v>5127</v>
      </c>
      <c r="D123" s="236">
        <f t="shared" ref="D123:Q123" si="42">SUM(D121,D119,D109,D102)</f>
        <v>-1305</v>
      </c>
      <c r="E123" s="236">
        <f t="shared" si="42"/>
        <v>-2336</v>
      </c>
      <c r="F123" s="236">
        <f>SUM(F121,F119,F109,F102)</f>
        <v>224</v>
      </c>
      <c r="G123" s="236">
        <f t="shared" si="42"/>
        <v>4231</v>
      </c>
      <c r="H123" s="236">
        <f t="shared" si="42"/>
        <v>-1136</v>
      </c>
      <c r="I123" s="85">
        <f t="shared" si="42"/>
        <v>293.60002287041971</v>
      </c>
      <c r="J123" s="85">
        <f t="shared" si="42"/>
        <v>-630.29736678071276</v>
      </c>
      <c r="K123" s="85">
        <f t="shared" si="42"/>
        <v>-560.49776477453997</v>
      </c>
      <c r="L123" s="85">
        <f t="shared" si="42"/>
        <v>844.19357999179101</v>
      </c>
      <c r="M123" s="85">
        <f t="shared" si="42"/>
        <v>1051.0818148857288</v>
      </c>
      <c r="N123" s="85">
        <f t="shared" si="42"/>
        <v>893.67054815224401</v>
      </c>
      <c r="O123" s="85">
        <f t="shared" si="42"/>
        <v>1080.1130936169538</v>
      </c>
      <c r="P123" s="85">
        <f t="shared" si="42"/>
        <v>1158.4210730151744</v>
      </c>
      <c r="Q123" s="85">
        <f t="shared" si="42"/>
        <v>1244.2685949732531</v>
      </c>
    </row>
    <row r="124" spans="2:17">
      <c r="H124" s="98"/>
    </row>
    <row r="125" spans="2:17">
      <c r="H125" s="98"/>
    </row>
    <row r="126" spans="2:17"/>
    <row r="127" spans="2:17"/>
    <row r="128" spans="2:17"/>
    <row r="129"/>
    <row r="130"/>
    <row r="131"/>
    <row r="132"/>
    <row r="133"/>
    <row r="134"/>
    <row r="135"/>
    <row r="136"/>
    <row r="137"/>
  </sheetData>
  <conditionalFormatting sqref="C90:Q90">
    <cfRule type="colorScale" priority="3">
      <colorScale>
        <cfvo type="num" val="&quot;&lt;0&quot;"/>
        <cfvo type="num" val="0"/>
        <color rgb="FFFF0000"/>
        <color theme="1"/>
      </colorScale>
    </cfRule>
  </conditionalFormatting>
  <conditionalFormatting sqref="C118:Q118">
    <cfRule type="cellIs" dxfId="21" priority="1" stopIfTrue="1" operator="equal">
      <formula>#REF!</formula>
    </cfRule>
  </conditionalFormatting>
  <conditionalFormatting sqref="H41">
    <cfRule type="cellIs" dxfId="20" priority="8" stopIfTrue="1" operator="equal">
      <formula>#REF!</formula>
    </cfRule>
  </conditionalFormatting>
  <conditionalFormatting sqref="I41">
    <cfRule type="cellIs" dxfId="19" priority="7" stopIfTrue="1" operator="equal">
      <formula>#REF!</formula>
    </cfRule>
  </conditionalFormatting>
  <conditionalFormatting sqref="J95:Q95 J97:Q97 J101:Q101">
    <cfRule type="cellIs" dxfId="18" priority="2" stopIfTrue="1" operator="equal">
      <formula>#REF!</formula>
    </cfRule>
  </conditionalFormatting>
  <conditionalFormatting sqref="J103:Q106 J108:Q108">
    <cfRule type="cellIs" dxfId="17" priority="10" stopIfTrue="1" operator="equal">
      <formula>#REF!</formula>
    </cfRule>
  </conditionalFormatting>
  <conditionalFormatting sqref="J122:Q122">
    <cfRule type="cellIs" dxfId="16" priority="11" stopIfTrue="1" operator="equal">
      <formula>#REF!</formula>
    </cfRule>
  </conditionalFormatting>
  <pageMargins left="0.7" right="0.7" top="0.75" bottom="0.75" header="0.3" footer="0.3"/>
  <pageSetup orientation="portrait" horizontalDpi="200" verticalDpi="200" r:id="rId1"/>
  <ignoredErrors>
    <ignoredError sqref="D92:H92" formulaRang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1C68-F549-477C-BBCC-33F998B96D77}">
  <sheetPr>
    <tabColor rgb="FF050A3F"/>
  </sheetPr>
  <dimension ref="A1:AM66"/>
  <sheetViews>
    <sheetView showGridLines="0" topLeftCell="B26" zoomScaleNormal="100" workbookViewId="0">
      <selection activeCell="F53" sqref="F53"/>
    </sheetView>
  </sheetViews>
  <sheetFormatPr defaultColWidth="0" defaultRowHeight="13.2" zeroHeight="1" outlineLevelCol="1"/>
  <cols>
    <col min="1" max="1" width="2.5" style="17" customWidth="1"/>
    <col min="2" max="2" width="46.19921875" style="17" bestFit="1" customWidth="1"/>
    <col min="3" max="3" width="12.19921875" style="17" customWidth="1"/>
    <col min="4" max="9" width="10.69921875" style="17" customWidth="1" outlineLevel="1"/>
    <col min="10" max="18" width="10.69921875" style="17" customWidth="1"/>
    <col min="19" max="20" width="5.19921875" style="17" customWidth="1"/>
    <col min="21" max="39" width="0" style="17" hidden="1" customWidth="1"/>
    <col min="40" max="16384" width="4.69921875" style="17" hidden="1"/>
  </cols>
  <sheetData>
    <row r="1" spans="1:20" s="33" customFormat="1" ht="17.399999999999999">
      <c r="B1" s="32" t="s">
        <v>6</v>
      </c>
      <c r="R1" s="34"/>
      <c r="S1" s="34"/>
    </row>
    <row r="2" spans="1:20" s="33" customFormat="1" ht="17.399999999999999">
      <c r="B2" s="32" t="str">
        <f>company</f>
        <v>Nike</v>
      </c>
      <c r="R2" s="34"/>
      <c r="S2" s="34"/>
    </row>
    <row r="3" spans="1:20" s="33" customFormat="1" ht="17.399999999999999">
      <c r="B3" s="32" t="s">
        <v>11</v>
      </c>
      <c r="R3" s="34"/>
      <c r="S3" s="34"/>
    </row>
    <row r="4" spans="1:20" s="33" customFormat="1" ht="17.399999999999999">
      <c r="B4" s="32" t="s">
        <v>236</v>
      </c>
      <c r="C4" s="35"/>
      <c r="D4" s="35"/>
      <c r="E4" s="35"/>
      <c r="F4" s="35"/>
      <c r="R4" s="34"/>
      <c r="S4" s="34"/>
    </row>
    <row r="5" spans="1:20" ht="15.75" customHeight="1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9"/>
    </row>
    <row r="6" spans="1:20">
      <c r="A6" s="120"/>
      <c r="B6" s="32" t="s">
        <v>237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</row>
    <row r="7" spans="1:20">
      <c r="A7" s="118"/>
      <c r="B7" s="121"/>
      <c r="C7" s="121"/>
      <c r="D7" s="121"/>
      <c r="F7" s="121"/>
      <c r="S7" s="118"/>
    </row>
    <row r="8" spans="1:20">
      <c r="A8" s="118"/>
      <c r="B8" s="122" t="s">
        <v>238</v>
      </c>
      <c r="C8" s="123"/>
    </row>
    <row r="9" spans="1:20">
      <c r="A9" s="118"/>
      <c r="B9" s="124" t="s">
        <v>239</v>
      </c>
      <c r="C9" s="125">
        <v>95536.15</v>
      </c>
    </row>
    <row r="10" spans="1:20">
      <c r="A10" s="118"/>
      <c r="B10" s="126" t="s">
        <v>240</v>
      </c>
      <c r="C10" s="127">
        <f>IFERROR(C9/C13,"")</f>
        <v>0.89659717617755852</v>
      </c>
    </row>
    <row r="11" spans="1:20">
      <c r="A11" s="118"/>
      <c r="B11" s="124" t="s">
        <v>241</v>
      </c>
      <c r="C11" s="125">
        <v>11018</v>
      </c>
    </row>
    <row r="12" spans="1:20">
      <c r="A12" s="118"/>
      <c r="B12" s="394" t="s">
        <v>242</v>
      </c>
      <c r="C12" s="395">
        <f>IFERROR(C11/C13,"")</f>
        <v>0.10340282382244145</v>
      </c>
    </row>
    <row r="13" spans="1:20">
      <c r="A13" s="118"/>
      <c r="B13" s="396" t="s">
        <v>243</v>
      </c>
      <c r="C13" s="397">
        <f>SUM(C9,C11)</f>
        <v>106554.15</v>
      </c>
    </row>
    <row r="14" spans="1:20">
      <c r="A14" s="118"/>
      <c r="B14" s="128"/>
    </row>
    <row r="15" spans="1:20">
      <c r="A15" s="118"/>
      <c r="B15" s="128"/>
    </row>
    <row r="16" spans="1:20">
      <c r="A16" s="118"/>
      <c r="B16" s="129" t="s">
        <v>244</v>
      </c>
      <c r="C16" s="130"/>
    </row>
    <row r="17" spans="1:37">
      <c r="A17" s="118"/>
      <c r="B17" s="131" t="s">
        <v>245</v>
      </c>
      <c r="C17" s="132">
        <v>8.9099999999999999E-2</v>
      </c>
    </row>
    <row r="18" spans="1:37">
      <c r="A18" s="118"/>
      <c r="B18" s="133" t="s">
        <v>246</v>
      </c>
      <c r="C18" s="132">
        <v>4.1599999999999998E-2</v>
      </c>
    </row>
    <row r="19" spans="1:37">
      <c r="A19" s="118"/>
      <c r="B19" s="133" t="s">
        <v>247</v>
      </c>
      <c r="C19" s="134">
        <f>rm-rf</f>
        <v>4.7500000000000001E-2</v>
      </c>
    </row>
    <row r="20" spans="1:37">
      <c r="A20" s="118"/>
      <c r="B20" s="398" t="s">
        <v>248</v>
      </c>
      <c r="C20" s="399">
        <v>0.93</v>
      </c>
    </row>
    <row r="21" spans="1:37">
      <c r="A21" s="118"/>
      <c r="B21" s="135" t="s">
        <v>249</v>
      </c>
      <c r="C21" s="136">
        <f>rf+beta*mrp</f>
        <v>8.5775000000000004E-2</v>
      </c>
    </row>
    <row r="22" spans="1:37">
      <c r="A22" s="118"/>
      <c r="B22" s="131" t="s">
        <v>250</v>
      </c>
      <c r="C22" s="132">
        <v>4.1500000000000002E-2</v>
      </c>
    </row>
    <row r="23" spans="1:37">
      <c r="A23" s="118"/>
      <c r="B23" s="400" t="s">
        <v>200</v>
      </c>
      <c r="C23" s="132">
        <v>0.18129999999999999</v>
      </c>
    </row>
    <row r="24" spans="1:37">
      <c r="A24" s="118"/>
      <c r="B24" s="137" t="s">
        <v>251</v>
      </c>
      <c r="C24" s="226">
        <f>costofdebt*(1-taxrate)</f>
        <v>3.3976050000000001E-2</v>
      </c>
    </row>
    <row r="25" spans="1:37">
      <c r="A25" s="118"/>
      <c r="B25" s="401" t="s">
        <v>252</v>
      </c>
      <c r="C25" s="226">
        <f>IFERROR(C10*re+C12*rd,"")</f>
        <v>8.0418842298962553E-2</v>
      </c>
    </row>
    <row r="26" spans="1:37">
      <c r="A26" s="118"/>
      <c r="D26" s="121"/>
      <c r="F26" s="121"/>
    </row>
    <row r="27" spans="1:37">
      <c r="A27" s="118"/>
      <c r="D27" s="121"/>
      <c r="F27" s="121"/>
    </row>
    <row r="28" spans="1:37">
      <c r="A28" s="120"/>
      <c r="B28" s="32" t="s">
        <v>253</v>
      </c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</row>
    <row r="29" spans="1:37">
      <c r="A29" s="118"/>
      <c r="B29" s="40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38"/>
      <c r="V29" s="121"/>
      <c r="W29" s="121"/>
      <c r="X29" s="121"/>
      <c r="Y29" s="121"/>
      <c r="Z29" s="139"/>
      <c r="AA29" s="121"/>
      <c r="AB29" s="139"/>
      <c r="AK29" s="118"/>
    </row>
    <row r="30" spans="1:37" s="34" customFormat="1" ht="13.8">
      <c r="B30" s="32" t="s">
        <v>75</v>
      </c>
      <c r="C30" s="36"/>
      <c r="D30" s="36">
        <v>2020</v>
      </c>
      <c r="E30" s="36">
        <f t="shared" ref="E30" si="0">D30+1</f>
        <v>2021</v>
      </c>
      <c r="F30" s="36">
        <f t="shared" ref="F30" si="1">E30+1</f>
        <v>2022</v>
      </c>
      <c r="G30" s="36">
        <f t="shared" ref="G30" si="2">F30+1</f>
        <v>2023</v>
      </c>
      <c r="H30" s="36">
        <f t="shared" ref="H30" si="3">G30+1</f>
        <v>2024</v>
      </c>
      <c r="I30" s="36">
        <f t="shared" ref="I30" si="4">H30+1</f>
        <v>2025</v>
      </c>
      <c r="J30" s="37">
        <f t="shared" ref="J30" si="5">I30+1</f>
        <v>2026</v>
      </c>
      <c r="K30" s="37">
        <f t="shared" ref="K30" si="6">J30+1</f>
        <v>2027</v>
      </c>
      <c r="L30" s="37">
        <f t="shared" ref="L30" si="7">K30+1</f>
        <v>2028</v>
      </c>
      <c r="M30" s="37">
        <f t="shared" ref="M30" si="8">L30+1</f>
        <v>2029</v>
      </c>
      <c r="N30" s="37">
        <f t="shared" ref="N30" si="9">M30+1</f>
        <v>2030</v>
      </c>
      <c r="O30" s="37">
        <f t="shared" ref="O30" si="10">N30+1</f>
        <v>2031</v>
      </c>
      <c r="P30" s="37">
        <f t="shared" ref="P30" si="11">O30+1</f>
        <v>2032</v>
      </c>
      <c r="Q30" s="37">
        <f t="shared" ref="Q30" si="12">P30+1</f>
        <v>2033</v>
      </c>
      <c r="R30" s="37">
        <f t="shared" ref="R30" si="13">Q30+1</f>
        <v>2034</v>
      </c>
    </row>
    <row r="31" spans="1:37">
      <c r="A31" s="118"/>
      <c r="B31" s="40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38"/>
      <c r="V31" s="121"/>
      <c r="W31" s="121"/>
      <c r="X31" s="121"/>
      <c r="Y31" s="121"/>
      <c r="Z31" s="139"/>
      <c r="AA31" s="121"/>
      <c r="AB31" s="139"/>
      <c r="AK31" s="118"/>
    </row>
    <row r="32" spans="1:37">
      <c r="A32" s="118"/>
      <c r="B32" s="17" t="s">
        <v>113</v>
      </c>
      <c r="C32" s="118"/>
      <c r="D32" s="213">
        <f>'Financial Statements'!C27</f>
        <v>2976</v>
      </c>
      <c r="E32" s="213">
        <f>'Financial Statements'!D27</f>
        <v>6923</v>
      </c>
      <c r="F32" s="213">
        <f>'Financial Statements'!E27</f>
        <v>6856</v>
      </c>
      <c r="G32" s="213">
        <f>'Financial Statements'!F27</f>
        <v>6195</v>
      </c>
      <c r="H32" s="213">
        <f>'Financial Statements'!G27</f>
        <v>6539</v>
      </c>
      <c r="I32" s="213">
        <f>'Financial Statements'!H27</f>
        <v>3778</v>
      </c>
      <c r="J32" s="210">
        <f>'Financial Statements'!I27</f>
        <v>3011.6666379148023</v>
      </c>
      <c r="K32" s="210">
        <f>'Financial Statements'!J27</f>
        <v>4361.1807953088628</v>
      </c>
      <c r="L32" s="210">
        <f>'Financial Statements'!K27</f>
        <v>4876.4165902584409</v>
      </c>
      <c r="M32" s="210">
        <f>'Financial Statements'!L27</f>
        <v>7606.8166763423887</v>
      </c>
      <c r="N32" s="210">
        <f>'Financial Statements'!M27</f>
        <v>8386.9205177519652</v>
      </c>
      <c r="O32" s="210">
        <f>'Financial Statements'!N27</f>
        <v>9153.0020216906669</v>
      </c>
      <c r="P32" s="210">
        <f>'Financial Statements'!O27</f>
        <v>9785.5060522126532</v>
      </c>
      <c r="Q32" s="210">
        <f>'Financial Statements'!P27</f>
        <v>10433.850651927647</v>
      </c>
      <c r="R32" s="210">
        <f>'Financial Statements'!Q27</f>
        <v>11096.387316346285</v>
      </c>
      <c r="S32" s="118"/>
    </row>
    <row r="33" spans="1:20">
      <c r="A33" s="118"/>
      <c r="B33" s="402" t="s">
        <v>254</v>
      </c>
      <c r="C33" s="155"/>
      <c r="D33" s="403">
        <f>1-'Supporting Schedules'!C69</f>
        <v>0.87945964669206789</v>
      </c>
      <c r="E33" s="403">
        <f>1-'Supporting Schedules'!D69</f>
        <v>0.85978081369163784</v>
      </c>
      <c r="F33" s="403">
        <f>1-'Supporting Schedules'!E69</f>
        <v>0.90903623515260867</v>
      </c>
      <c r="G33" s="403">
        <f>1-'Supporting Schedules'!F69</f>
        <v>0.8176100628930818</v>
      </c>
      <c r="H33" s="403">
        <f>1-'Supporting Schedules'!G69</f>
        <v>0.85074626865671643</v>
      </c>
      <c r="I33" s="404">
        <f>1-'Supporting Schedules'!H69</f>
        <v>0.82857142857142851</v>
      </c>
      <c r="J33" s="405">
        <f>1-'Supporting Schedules'!I69</f>
        <v>0.81869999999999998</v>
      </c>
      <c r="K33" s="405">
        <f>1-'Supporting Schedules'!J69</f>
        <v>0.81869999999999998</v>
      </c>
      <c r="L33" s="405">
        <f>1-'Supporting Schedules'!K69</f>
        <v>0.81869999999999998</v>
      </c>
      <c r="M33" s="405">
        <f>1-'Supporting Schedules'!L69</f>
        <v>0.81869999999999998</v>
      </c>
      <c r="N33" s="405">
        <f>1-'Supporting Schedules'!M69</f>
        <v>0.81869999999999998</v>
      </c>
      <c r="O33" s="405">
        <f>1-'Supporting Schedules'!N69</f>
        <v>0.81869999999999998</v>
      </c>
      <c r="P33" s="405">
        <f>1-'Supporting Schedules'!O69</f>
        <v>0.81869999999999998</v>
      </c>
      <c r="Q33" s="405">
        <f>1-'Supporting Schedules'!P69</f>
        <v>0.81869999999999998</v>
      </c>
      <c r="R33" s="405">
        <f>1-'Supporting Schedules'!Q69</f>
        <v>0.81869999999999998</v>
      </c>
      <c r="S33" s="118"/>
    </row>
    <row r="34" spans="1:20">
      <c r="A34" s="118"/>
      <c r="B34" s="117" t="s">
        <v>255</v>
      </c>
      <c r="C34" s="140"/>
      <c r="D34" s="214">
        <f>D32*D33</f>
        <v>2617.2719085555941</v>
      </c>
      <c r="E34" s="214">
        <f t="shared" ref="E34:R34" si="14">E32*E33</f>
        <v>5952.2625731872085</v>
      </c>
      <c r="F34" s="214">
        <f t="shared" si="14"/>
        <v>6232.3524282062854</v>
      </c>
      <c r="G34" s="214">
        <f t="shared" si="14"/>
        <v>5065.0943396226421</v>
      </c>
      <c r="H34" s="214">
        <f t="shared" si="14"/>
        <v>5563.0298507462685</v>
      </c>
      <c r="I34" s="214">
        <f t="shared" si="14"/>
        <v>3130.3428571428567</v>
      </c>
      <c r="J34" s="211">
        <f>J32*J33</f>
        <v>2465.6514764608487</v>
      </c>
      <c r="K34" s="211">
        <f t="shared" si="14"/>
        <v>3570.4987171193661</v>
      </c>
      <c r="L34" s="211">
        <f t="shared" si="14"/>
        <v>3992.3222624445857</v>
      </c>
      <c r="M34" s="211">
        <f t="shared" si="14"/>
        <v>6227.7008129215137</v>
      </c>
      <c r="N34" s="211">
        <f t="shared" si="14"/>
        <v>6866.371827883534</v>
      </c>
      <c r="O34" s="211">
        <f t="shared" si="14"/>
        <v>7493.5627551581492</v>
      </c>
      <c r="P34" s="211">
        <f t="shared" si="14"/>
        <v>8011.3938049464987</v>
      </c>
      <c r="Q34" s="211">
        <f t="shared" si="14"/>
        <v>8542.1935287331653</v>
      </c>
      <c r="R34" s="211">
        <f t="shared" si="14"/>
        <v>9084.6122958927026</v>
      </c>
      <c r="S34" s="118"/>
    </row>
    <row r="35" spans="1:20">
      <c r="A35" s="118"/>
      <c r="B35" s="118" t="s">
        <v>256</v>
      </c>
      <c r="C35" s="118"/>
      <c r="D35" s="215">
        <f>'Financial Statements'!C25</f>
        <v>1119</v>
      </c>
      <c r="E35" s="215">
        <f>'Financial Statements'!D25</f>
        <v>797</v>
      </c>
      <c r="F35" s="215">
        <f>'Financial Statements'!E25</f>
        <v>840</v>
      </c>
      <c r="G35" s="215">
        <f>'Financial Statements'!F25</f>
        <v>703</v>
      </c>
      <c r="H35" s="215">
        <f>'Financial Statements'!G25</f>
        <v>796</v>
      </c>
      <c r="I35" s="215">
        <f>'Financial Statements'!H25</f>
        <v>775</v>
      </c>
      <c r="J35" s="212">
        <f>'Financial Statements'!I25</f>
        <v>838.12555067339474</v>
      </c>
      <c r="K35" s="212">
        <f>'Financial Statements'!J25</f>
        <v>850.78682027274374</v>
      </c>
      <c r="L35" s="212">
        <f>'Financial Statements'!K25</f>
        <v>858.53776112494438</v>
      </c>
      <c r="M35" s="212">
        <f>'Financial Statements'!L25</f>
        <v>898.8970650939408</v>
      </c>
      <c r="N35" s="212">
        <f>'Financial Statements'!M25</f>
        <v>911.85794315217424</v>
      </c>
      <c r="O35" s="212">
        <f>'Financial Statements'!N25</f>
        <v>941.18300079634992</v>
      </c>
      <c r="P35" s="212">
        <f>'Financial Statements'!O25</f>
        <v>964.48070354403671</v>
      </c>
      <c r="Q35" s="212">
        <f>'Financial Statements'!P25</f>
        <v>997.78944784449527</v>
      </c>
      <c r="R35" s="212">
        <f>'Financial Statements'!Q25</f>
        <v>1042.1105275801028</v>
      </c>
      <c r="S35" s="118"/>
    </row>
    <row r="36" spans="1:20">
      <c r="A36" s="118"/>
      <c r="B36" s="118" t="s">
        <v>257</v>
      </c>
      <c r="C36" s="118"/>
      <c r="D36" s="215">
        <f>'Financial Statements'!C101</f>
        <v>0</v>
      </c>
      <c r="E36" s="215">
        <f>'Financial Statements'!D101</f>
        <v>-2801</v>
      </c>
      <c r="F36" s="215">
        <f>'Financial Statements'!E101</f>
        <v>-2681</v>
      </c>
      <c r="G36" s="215">
        <f>'Financial Statements'!F101</f>
        <v>904</v>
      </c>
      <c r="H36" s="215">
        <f>'Financial Statements'!G101</f>
        <v>2576</v>
      </c>
      <c r="I36" s="215">
        <f>'Financial Statements'!H101</f>
        <v>597</v>
      </c>
      <c r="J36" s="212">
        <f>'Financial Statements'!I101</f>
        <v>1064.6954486847462</v>
      </c>
      <c r="K36" s="212">
        <f>'Financial Statements'!J101</f>
        <v>-479.72633407818648</v>
      </c>
      <c r="L36" s="212">
        <f>'Financial Statements'!K101</f>
        <v>-528.85028246239926</v>
      </c>
      <c r="M36" s="212">
        <f>'Financial Statements'!L101</f>
        <v>-571.04311787727602</v>
      </c>
      <c r="N36" s="212">
        <f>'Financial Statements'!M101</f>
        <v>-590.57377326865208</v>
      </c>
      <c r="O36" s="212">
        <f>'Financial Statements'!N101</f>
        <v>-875.18883636409555</v>
      </c>
      <c r="P36" s="212">
        <f>'Financial Statements'!O101</f>
        <v>-793.21808020717617</v>
      </c>
      <c r="Q36" s="212">
        <f>'Financial Statements'!P101</f>
        <v>-827.69310143191251</v>
      </c>
      <c r="R36" s="212">
        <f>'Financial Statements'!Q101</f>
        <v>-863.30902358089952</v>
      </c>
      <c r="S36" s="118"/>
    </row>
    <row r="37" spans="1:20">
      <c r="A37" s="118"/>
      <c r="B37" s="155" t="s">
        <v>258</v>
      </c>
      <c r="C37" s="155"/>
      <c r="D37" s="406">
        <f>-'Supporting Schedules'!C61</f>
        <v>-1086</v>
      </c>
      <c r="E37" s="406">
        <f>-'Supporting Schedules'!D61</f>
        <v>-695</v>
      </c>
      <c r="F37" s="406">
        <f>-'Supporting Schedules'!E61</f>
        <v>-758</v>
      </c>
      <c r="G37" s="406">
        <f>-'Supporting Schedules'!F61</f>
        <v>-969</v>
      </c>
      <c r="H37" s="406">
        <f>-'Supporting Schedules'!G61</f>
        <v>-812</v>
      </c>
      <c r="I37" s="406">
        <f>-'Supporting Schedules'!H61</f>
        <v>-430</v>
      </c>
      <c r="J37" s="407">
        <f>-'Supporting Schedules'!I61</f>
        <v>-818.36686062461115</v>
      </c>
      <c r="K37" s="407">
        <f>-'Supporting Schedules'!J61</f>
        <v>-849.62702287267473</v>
      </c>
      <c r="L37" s="407">
        <f>-'Supporting Schedules'!K61</f>
        <v>-893.23183249244516</v>
      </c>
      <c r="M37" s="407">
        <f>-'Supporting Schedules'!L61</f>
        <v>-810.38592311053185</v>
      </c>
      <c r="N37" s="407">
        <f>-'Supporting Schedules'!M61</f>
        <v>-858.64056653887212</v>
      </c>
      <c r="O37" s="407">
        <f>-'Supporting Schedules'!N61</f>
        <v>-932.08766967588463</v>
      </c>
      <c r="P37" s="407">
        <f>-'Supporting Schedules'!O61</f>
        <v>-992.64379262895193</v>
      </c>
      <c r="Q37" s="407">
        <f>-'Supporting Schedules'!P61</f>
        <v>-1055.5870293077655</v>
      </c>
      <c r="R37" s="407">
        <f>-'Supporting Schedules'!Q61</f>
        <v>-1120.857616885995</v>
      </c>
      <c r="S37" s="118"/>
    </row>
    <row r="38" spans="1:20">
      <c r="A38" s="118"/>
      <c r="B38" s="117" t="s">
        <v>259</v>
      </c>
      <c r="C38" s="141"/>
      <c r="D38" s="215">
        <f t="shared" ref="D38:R38" si="15">SUM(D34:D37)</f>
        <v>2650.2719085555941</v>
      </c>
      <c r="E38" s="215">
        <f t="shared" si="15"/>
        <v>3253.2625731872085</v>
      </c>
      <c r="F38" s="215">
        <f t="shared" si="15"/>
        <v>3633.3524282062854</v>
      </c>
      <c r="G38" s="215">
        <f t="shared" si="15"/>
        <v>5703.0943396226421</v>
      </c>
      <c r="H38" s="215">
        <f t="shared" si="15"/>
        <v>8123.0298507462685</v>
      </c>
      <c r="I38" s="215">
        <f t="shared" si="15"/>
        <v>4072.3428571428567</v>
      </c>
      <c r="J38" s="212">
        <f>SUM(J34:J37)</f>
        <v>3550.1056151943785</v>
      </c>
      <c r="K38" s="212">
        <f t="shared" si="15"/>
        <v>3091.9321804412489</v>
      </c>
      <c r="L38" s="212">
        <f t="shared" si="15"/>
        <v>3428.7779086146857</v>
      </c>
      <c r="M38" s="212">
        <f t="shared" si="15"/>
        <v>5745.168837027647</v>
      </c>
      <c r="N38" s="212">
        <f t="shared" si="15"/>
        <v>6329.0154312281838</v>
      </c>
      <c r="O38" s="212">
        <f t="shared" si="15"/>
        <v>6627.4692499145203</v>
      </c>
      <c r="P38" s="212">
        <f t="shared" si="15"/>
        <v>7190.0126356544069</v>
      </c>
      <c r="Q38" s="212">
        <f t="shared" si="15"/>
        <v>7656.7028458379827</v>
      </c>
      <c r="R38" s="212">
        <f t="shared" si="15"/>
        <v>8142.5561830059123</v>
      </c>
      <c r="S38" s="118"/>
    </row>
    <row r="39" spans="1:20">
      <c r="A39" s="118"/>
      <c r="B39" s="118" t="s">
        <v>260</v>
      </c>
      <c r="C39" s="141"/>
      <c r="D39" s="215"/>
      <c r="E39" s="215"/>
      <c r="F39" s="215"/>
      <c r="G39" s="215"/>
      <c r="H39" s="215"/>
      <c r="I39" s="215"/>
      <c r="J39" s="212">
        <v>1</v>
      </c>
      <c r="K39" s="212">
        <f>J39+1</f>
        <v>2</v>
      </c>
      <c r="L39" s="212">
        <f t="shared" ref="L39:R39" si="16">K39+1</f>
        <v>3</v>
      </c>
      <c r="M39" s="212">
        <f t="shared" si="16"/>
        <v>4</v>
      </c>
      <c r="N39" s="212">
        <f t="shared" si="16"/>
        <v>5</v>
      </c>
      <c r="O39" s="212">
        <f t="shared" si="16"/>
        <v>6</v>
      </c>
      <c r="P39" s="212">
        <f t="shared" si="16"/>
        <v>7</v>
      </c>
      <c r="Q39" s="212">
        <f t="shared" si="16"/>
        <v>8</v>
      </c>
      <c r="R39" s="212">
        <f t="shared" si="16"/>
        <v>9</v>
      </c>
      <c r="S39" s="118"/>
    </row>
    <row r="40" spans="1:20">
      <c r="A40" s="118"/>
      <c r="B40" s="117" t="s">
        <v>261</v>
      </c>
      <c r="C40" s="141"/>
      <c r="D40" s="215">
        <f t="shared" ref="D40:R40" si="17">D38/(1+wacc)^D39</f>
        <v>2650.2719085555941</v>
      </c>
      <c r="E40" s="215">
        <f t="shared" si="17"/>
        <v>3253.2625731872085</v>
      </c>
      <c r="F40" s="215">
        <f t="shared" si="17"/>
        <v>3633.3524282062854</v>
      </c>
      <c r="G40" s="215">
        <f t="shared" si="17"/>
        <v>5703.0943396226421</v>
      </c>
      <c r="H40" s="215">
        <f t="shared" si="17"/>
        <v>8123.0298507462685</v>
      </c>
      <c r="I40" s="215">
        <f t="shared" si="17"/>
        <v>4072.3428571428567</v>
      </c>
      <c r="J40" s="212">
        <f>J38/(1+wacc)^J39</f>
        <v>3285.8605165014601</v>
      </c>
      <c r="K40" s="212">
        <f t="shared" si="17"/>
        <v>2648.7786072042468</v>
      </c>
      <c r="L40" s="212">
        <f t="shared" si="17"/>
        <v>2718.7101387306288</v>
      </c>
      <c r="M40" s="212">
        <f t="shared" si="17"/>
        <v>4216.3261478469776</v>
      </c>
      <c r="N40" s="212">
        <f t="shared" si="17"/>
        <v>4299.0788098343119</v>
      </c>
      <c r="O40" s="212">
        <f t="shared" si="17"/>
        <v>4166.724860282643</v>
      </c>
      <c r="P40" s="212">
        <f t="shared" si="17"/>
        <v>4183.9318937169719</v>
      </c>
      <c r="Q40" s="212">
        <f t="shared" si="17"/>
        <v>4123.8664829937834</v>
      </c>
      <c r="R40" s="212">
        <f t="shared" si="17"/>
        <v>4059.1155783225595</v>
      </c>
      <c r="S40" s="118"/>
    </row>
    <row r="41" spans="1:20">
      <c r="A41" s="117"/>
      <c r="B41" s="118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</row>
    <row r="42" spans="1:20">
      <c r="A42" s="117"/>
      <c r="B42" s="118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</row>
    <row r="43" spans="1:20">
      <c r="A43" s="120"/>
      <c r="B43" s="32" t="s">
        <v>262</v>
      </c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</row>
    <row r="44" spans="1:20">
      <c r="A44" s="117"/>
      <c r="B44" s="118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</row>
    <row r="45" spans="1:20">
      <c r="A45" s="117"/>
      <c r="B45" s="142" t="s">
        <v>263</v>
      </c>
      <c r="C45" s="143"/>
      <c r="D45" s="144"/>
      <c r="E45" s="118"/>
      <c r="G45" s="432" t="s">
        <v>365</v>
      </c>
      <c r="H45" s="433"/>
      <c r="I45" s="433"/>
      <c r="J45" s="433"/>
      <c r="K45" s="433"/>
      <c r="L45" s="433"/>
      <c r="M45" s="434"/>
    </row>
    <row r="46" spans="1:20" ht="15.6">
      <c r="A46" s="117"/>
      <c r="B46" s="145" t="s">
        <v>264</v>
      </c>
      <c r="C46" s="118"/>
      <c r="D46" s="146">
        <v>0.02</v>
      </c>
      <c r="E46" s="118"/>
      <c r="F46"/>
      <c r="G46"/>
      <c r="H46"/>
      <c r="I46"/>
      <c r="J46"/>
      <c r="K46"/>
      <c r="L46"/>
      <c r="M46"/>
    </row>
    <row r="47" spans="1:20" ht="15.6">
      <c r="A47" s="117"/>
      <c r="B47" s="145" t="s">
        <v>265</v>
      </c>
      <c r="C47" s="118"/>
      <c r="D47" s="147">
        <f>IFERROR(R38*(1+tgr)/(wacc-tgr)," ")*(1/(1+wacc)^9)</f>
        <v>68526.600847499256</v>
      </c>
      <c r="E47" s="118"/>
      <c r="F47"/>
      <c r="G47" s="427"/>
      <c r="H47" s="427"/>
      <c r="I47" s="507" t="s">
        <v>364</v>
      </c>
      <c r="J47" s="507"/>
      <c r="K47" s="507"/>
      <c r="L47" s="507"/>
      <c r="M47" s="507"/>
    </row>
    <row r="48" spans="1:20" ht="15.6">
      <c r="A48" s="117"/>
      <c r="B48" s="148" t="s">
        <v>266</v>
      </c>
      <c r="C48" s="118"/>
      <c r="D48" s="149">
        <f>IFERROR(D47/D51,0)</f>
        <v>0.67032451601717058</v>
      </c>
      <c r="E48" s="118"/>
      <c r="F48"/>
      <c r="G48" s="427"/>
      <c r="H48" s="428">
        <f>D57</f>
        <v>66.753479828800465</v>
      </c>
      <c r="I48" s="435">
        <f>J48-0.25%</f>
        <v>1.5000000000000001E-2</v>
      </c>
      <c r="J48" s="435">
        <f>K48-0.25%</f>
        <v>1.7500000000000002E-2</v>
      </c>
      <c r="K48" s="435">
        <v>0.02</v>
      </c>
      <c r="L48" s="435">
        <f>K48+0.25%</f>
        <v>2.2499999999999999E-2</v>
      </c>
      <c r="M48" s="435">
        <f>L48+0.25%</f>
        <v>2.4999999999999998E-2</v>
      </c>
    </row>
    <row r="49" spans="1:20" ht="15.6" customHeight="1">
      <c r="A49" s="117"/>
      <c r="B49" s="150" t="s">
        <v>267</v>
      </c>
      <c r="C49" s="118"/>
      <c r="D49" s="151">
        <f>SUM(J40:R40)</f>
        <v>33702.39303543359</v>
      </c>
      <c r="E49" s="118"/>
      <c r="F49"/>
      <c r="G49" s="508" t="s">
        <v>252</v>
      </c>
      <c r="H49" s="435">
        <f>H50+0.25%</f>
        <v>8.5418842298962558E-2</v>
      </c>
      <c r="I49" s="429">
        <f t="dataTable" ref="I49:M53" dt2D="1" dtr="1" r1="D46" r2="C25"/>
        <v>57.813736546974255</v>
      </c>
      <c r="J49" s="429">
        <v>59.308283514257333</v>
      </c>
      <c r="K49" s="429">
        <v>60.917059571720046</v>
      </c>
      <c r="L49" s="429">
        <v>62.65368096125502</v>
      </c>
      <c r="M49" s="429">
        <v>64.534017566396216</v>
      </c>
    </row>
    <row r="50" spans="1:20" ht="15.6">
      <c r="A50" s="117"/>
      <c r="B50" s="408" t="s">
        <v>268</v>
      </c>
      <c r="C50" s="155"/>
      <c r="D50" s="409">
        <f>IFERROR(D49/D51,0)</f>
        <v>0.32967548398282936</v>
      </c>
      <c r="E50" s="118"/>
      <c r="F50"/>
      <c r="G50" s="508"/>
      <c r="H50" s="435">
        <f>H51+0.25%</f>
        <v>8.2918842298962556E-2</v>
      </c>
      <c r="I50" s="429">
        <v>60.309738662556299</v>
      </c>
      <c r="J50" s="430">
        <v>61.948467752870982</v>
      </c>
      <c r="K50" s="430">
        <v>63.717422466420132</v>
      </c>
      <c r="L50" s="430">
        <v>65.632768160517671</v>
      </c>
      <c r="M50" s="429">
        <v>67.713461228463885</v>
      </c>
    </row>
    <row r="51" spans="1:20" ht="15.6">
      <c r="A51" s="117"/>
      <c r="B51" s="152" t="s">
        <v>269</v>
      </c>
      <c r="C51" s="118"/>
      <c r="D51" s="153">
        <f>SUM(D47,D49)</f>
        <v>102228.99388293285</v>
      </c>
      <c r="E51" s="118"/>
      <c r="F51"/>
      <c r="G51" s="508"/>
      <c r="H51" s="435">
        <v>8.0418842298962553E-2</v>
      </c>
      <c r="I51" s="429">
        <v>63.000423178991667</v>
      </c>
      <c r="J51" s="430">
        <v>64.802390042800369</v>
      </c>
      <c r="K51" s="431">
        <v>66.753479828800465</v>
      </c>
      <c r="L51" s="430">
        <v>68.873002693618758</v>
      </c>
      <c r="M51" s="429">
        <v>71.18375319662772</v>
      </c>
      <c r="P51" s="17">
        <v>11</v>
      </c>
    </row>
    <row r="52" spans="1:20" ht="15.6">
      <c r="A52" s="117"/>
      <c r="B52" s="228" t="s">
        <v>270</v>
      </c>
      <c r="C52" s="118"/>
      <c r="D52" s="154">
        <f>-C11</f>
        <v>-11018</v>
      </c>
      <c r="E52" s="118"/>
      <c r="F52"/>
      <c r="G52" s="508"/>
      <c r="H52" s="435">
        <f>H51-0.25%</f>
        <v>7.7918842298962551E-2</v>
      </c>
      <c r="I52" s="429">
        <v>65.909066440934112</v>
      </c>
      <c r="J52" s="430">
        <v>67.896652507503049</v>
      </c>
      <c r="K52" s="430">
        <v>70.05582229257152</v>
      </c>
      <c r="L52" s="430">
        <v>72.409796741135153</v>
      </c>
      <c r="M52" s="429">
        <v>74.986184827856746</v>
      </c>
    </row>
    <row r="53" spans="1:20" ht="15.6">
      <c r="A53" s="117"/>
      <c r="B53" s="228" t="s">
        <v>271</v>
      </c>
      <c r="C53" s="118"/>
      <c r="D53" s="156">
        <f>'Financial Statements'!H45</f>
        <v>7464</v>
      </c>
      <c r="E53" s="118"/>
      <c r="F53"/>
      <c r="G53" s="508"/>
      <c r="H53" s="435">
        <f>H52-0.25%</f>
        <v>7.5418842298962549E-2</v>
      </c>
      <c r="I53" s="429">
        <v>69.062798805740556</v>
      </c>
      <c r="J53" s="429">
        <v>71.262451785060193</v>
      </c>
      <c r="K53" s="429">
        <v>73.660561903510697</v>
      </c>
      <c r="L53" s="429">
        <v>76.285255788184045</v>
      </c>
      <c r="M53" s="429">
        <v>79.170238660564621</v>
      </c>
    </row>
    <row r="54" spans="1:20" ht="15.6">
      <c r="A54" s="157"/>
      <c r="B54" s="158" t="s">
        <v>272</v>
      </c>
      <c r="C54" s="155"/>
      <c r="D54" s="227">
        <v>0</v>
      </c>
      <c r="E54" s="118"/>
      <c r="F54"/>
    </row>
    <row r="55" spans="1:20">
      <c r="A55" s="157"/>
      <c r="B55" s="159" t="s">
        <v>273</v>
      </c>
      <c r="C55" s="118"/>
      <c r="D55" s="153">
        <f>SUM(D51:D54)</f>
        <v>98674.993882932846</v>
      </c>
      <c r="E55" s="118"/>
      <c r="G55" s="141"/>
      <c r="H55" s="141"/>
      <c r="I55" s="141"/>
      <c r="J55" s="141"/>
      <c r="K55" s="141"/>
      <c r="L55" s="141"/>
      <c r="M55" s="141"/>
      <c r="N55" s="141"/>
      <c r="O55" s="141"/>
      <c r="P55" s="141"/>
    </row>
    <row r="56" spans="1:20">
      <c r="A56" s="157"/>
      <c r="B56" s="160" t="s">
        <v>274</v>
      </c>
      <c r="C56" s="155"/>
      <c r="D56" s="289">
        <v>1478.2</v>
      </c>
      <c r="E56" s="118"/>
      <c r="G56" s="141"/>
      <c r="H56" s="141"/>
      <c r="I56" s="141"/>
      <c r="J56" s="141"/>
      <c r="K56" s="141"/>
      <c r="L56" s="141"/>
      <c r="M56" s="141"/>
      <c r="N56" s="141"/>
      <c r="O56" s="141"/>
      <c r="P56" s="141"/>
    </row>
    <row r="57" spans="1:20">
      <c r="A57" s="157"/>
      <c r="B57" s="161" t="s">
        <v>275</v>
      </c>
      <c r="C57" s="118"/>
      <c r="D57" s="162">
        <f>IFERROR(D55/D56,"")</f>
        <v>66.753479828800465</v>
      </c>
      <c r="E57" s="118"/>
      <c r="G57" s="141"/>
      <c r="H57" s="141"/>
      <c r="I57" s="141"/>
      <c r="J57" s="141"/>
      <c r="K57" s="141"/>
      <c r="L57" s="141"/>
      <c r="M57" s="141"/>
      <c r="N57" s="141"/>
      <c r="O57" s="141"/>
      <c r="P57" s="141"/>
    </row>
    <row r="58" spans="1:20">
      <c r="A58" s="118"/>
      <c r="B58" s="163" t="s">
        <v>276</v>
      </c>
      <c r="C58" s="141"/>
      <c r="D58" s="209">
        <f>currentprice</f>
        <v>60</v>
      </c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</row>
    <row r="59" spans="1:20">
      <c r="A59" s="118"/>
      <c r="B59" s="164" t="s">
        <v>277</v>
      </c>
      <c r="C59" s="165"/>
      <c r="D59" s="166">
        <f>IFERROR(D57/D58-1,"")</f>
        <v>0.11255799714667436</v>
      </c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</row>
    <row r="60" spans="1:20">
      <c r="A60" s="118"/>
      <c r="B60" s="179"/>
      <c r="C60" s="141"/>
      <c r="D60" s="180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</row>
    <row r="61" spans="1:20">
      <c r="A61" s="118"/>
      <c r="B61" s="167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</row>
    <row r="62" spans="1:20" hidden="1">
      <c r="A62" s="118"/>
      <c r="B62" s="117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</row>
    <row r="63" spans="1:20" hidden="1">
      <c r="A63" s="118"/>
      <c r="B63" s="118"/>
      <c r="C63" s="118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</row>
    <row r="64" spans="1:20" hidden="1">
      <c r="A64" s="118"/>
      <c r="B64" s="118"/>
      <c r="C64" s="118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</row>
    <row r="65"/>
    <row r="66"/>
  </sheetData>
  <mergeCells count="2">
    <mergeCell ref="I47:M47"/>
    <mergeCell ref="G49:G53"/>
  </mergeCells>
  <conditionalFormatting sqref="B47 D47">
    <cfRule type="cellIs" dxfId="15" priority="2" stopIfTrue="1" operator="equal">
      <formula>"ERROR"</formula>
    </cfRule>
  </conditionalFormatting>
  <conditionalFormatting sqref="C38:C42 G55:P57 C58:C62">
    <cfRule type="cellIs" dxfId="14" priority="5" stopIfTrue="1" operator="equal">
      <formula>#REF!</formula>
    </cfRule>
  </conditionalFormatting>
  <conditionalFormatting sqref="D41:T42 C44:T44">
    <cfRule type="cellIs" dxfId="13" priority="3" stopIfTrue="1" operator="equal">
      <formula>#REF!</formula>
    </cfRule>
  </conditionalFormatting>
  <conditionalFormatting sqref="D58:T64">
    <cfRule type="cellIs" dxfId="12" priority="4" stopIfTrue="1" operator="equal">
      <formula>#REF!</formula>
    </cfRule>
  </conditionalFormatting>
  <conditionalFormatting sqref="I49:M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">
    <cfRule type="cellIs" dxfId="11" priority="8" operator="equal">
      <formula>"Check"</formula>
    </cfRule>
  </conditionalFormatting>
  <conditionalFormatting sqref="Z29 Z31">
    <cfRule type="cellIs" dxfId="10" priority="7" stopIfTrue="1" operator="equal">
      <formula>#REF!</formula>
    </cfRule>
  </conditionalFormatting>
  <pageMargins left="0.7" right="0.7" top="0.75" bottom="0.75" header="0.3" footer="0.3"/>
  <pageSetup orientation="portrait" horizontalDpi="200" verticalDpi="200" r:id="rId1"/>
  <ignoredErrors>
    <ignoredError sqref="D52:D53" unlocked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32BF-280F-41A1-8CD8-F18D69DD8EFB}">
  <sheetPr>
    <tabColor rgb="FF050A3F"/>
  </sheetPr>
  <dimension ref="A1:AM267"/>
  <sheetViews>
    <sheetView showGridLines="0" topLeftCell="A108" zoomScale="82" zoomScaleNormal="100" workbookViewId="0">
      <selection activeCell="C163" sqref="C163"/>
    </sheetView>
  </sheetViews>
  <sheetFormatPr defaultColWidth="0" defaultRowHeight="12.75" customHeight="1" zeroHeight="1"/>
  <cols>
    <col min="1" max="1" width="2.5" style="17" customWidth="1"/>
    <col min="2" max="2" width="46.19921875" style="17" bestFit="1" customWidth="1"/>
    <col min="3" max="3" width="10.69921875" style="17" customWidth="1"/>
    <col min="4" max="4" width="11.69921875" style="17" bestFit="1" customWidth="1"/>
    <col min="5" max="5" width="12.69921875" style="17" bestFit="1" customWidth="1"/>
    <col min="6" max="17" width="10.69921875" style="17" customWidth="1"/>
    <col min="18" max="19" width="5.19921875" style="17" customWidth="1"/>
    <col min="20" max="20" width="25.09765625" style="17" customWidth="1"/>
    <col min="21" max="39" width="0" style="17" hidden="1" customWidth="1"/>
    <col min="40" max="16383" width="4.69921875" style="17" hidden="1"/>
    <col min="16384" max="16384" width="4.69921875" style="17" hidden="1" customWidth="1"/>
  </cols>
  <sheetData>
    <row r="1" spans="1:20" s="33" customFormat="1" ht="17.399999999999999">
      <c r="B1" s="32" t="s">
        <v>6</v>
      </c>
      <c r="Q1" s="34"/>
      <c r="R1"/>
      <c r="S1"/>
      <c r="T1"/>
    </row>
    <row r="2" spans="1:20" s="33" customFormat="1" ht="17.399999999999999">
      <c r="B2" s="32" t="str">
        <f>company</f>
        <v>Nike</v>
      </c>
      <c r="Q2" s="34"/>
      <c r="R2"/>
      <c r="S2"/>
      <c r="T2"/>
    </row>
    <row r="3" spans="1:20" s="33" customFormat="1" ht="17.399999999999999">
      <c r="B3" s="32" t="s">
        <v>11</v>
      </c>
      <c r="Q3" s="34"/>
      <c r="R3"/>
      <c r="S3"/>
      <c r="T3"/>
    </row>
    <row r="4" spans="1:20" s="33" customFormat="1" ht="17.399999999999999">
      <c r="B4" s="32" t="s">
        <v>185</v>
      </c>
      <c r="C4" s="35"/>
      <c r="D4" s="35"/>
      <c r="E4" s="35"/>
      <c r="Q4" s="34"/>
      <c r="R4"/>
      <c r="S4"/>
      <c r="T4"/>
    </row>
    <row r="5" spans="1:20" ht="15.75" customHeight="1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/>
      <c r="S5"/>
      <c r="T5"/>
    </row>
    <row r="6" spans="1:20" s="34" customFormat="1" ht="15.6">
      <c r="B6" s="32" t="s">
        <v>75</v>
      </c>
      <c r="C6" s="36">
        <v>2020</v>
      </c>
      <c r="D6" s="36">
        <f t="shared" ref="D6:Q6" si="0">C6+1</f>
        <v>2021</v>
      </c>
      <c r="E6" s="36">
        <f t="shared" si="0"/>
        <v>2022</v>
      </c>
      <c r="F6" s="36">
        <f t="shared" si="0"/>
        <v>2023</v>
      </c>
      <c r="G6" s="36">
        <f t="shared" si="0"/>
        <v>2024</v>
      </c>
      <c r="H6" s="36">
        <f t="shared" si="0"/>
        <v>2025</v>
      </c>
      <c r="I6" s="37">
        <f t="shared" si="0"/>
        <v>2026</v>
      </c>
      <c r="J6" s="37">
        <f t="shared" si="0"/>
        <v>2027</v>
      </c>
      <c r="K6" s="37">
        <f t="shared" si="0"/>
        <v>2028</v>
      </c>
      <c r="L6" s="37">
        <f t="shared" si="0"/>
        <v>2029</v>
      </c>
      <c r="M6" s="37">
        <f t="shared" si="0"/>
        <v>2030</v>
      </c>
      <c r="N6" s="37">
        <f t="shared" si="0"/>
        <v>2031</v>
      </c>
      <c r="O6" s="37">
        <f t="shared" si="0"/>
        <v>2032</v>
      </c>
      <c r="P6" s="37">
        <f t="shared" si="0"/>
        <v>2033</v>
      </c>
      <c r="Q6" s="37">
        <f t="shared" si="0"/>
        <v>2034</v>
      </c>
      <c r="R6"/>
      <c r="S6"/>
      <c r="T6"/>
    </row>
    <row r="7" spans="1:20" ht="15.6">
      <c r="A7" s="117"/>
      <c r="B7" s="118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/>
      <c r="S7"/>
      <c r="T7"/>
    </row>
    <row r="8" spans="1:20" ht="15.6">
      <c r="A8" s="168" t="s">
        <v>394</v>
      </c>
      <c r="B8" s="32" t="s">
        <v>76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/>
      <c r="S8"/>
      <c r="T8"/>
    </row>
    <row r="9" spans="1:20" ht="15.6"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/>
      <c r="S9"/>
      <c r="T9"/>
    </row>
    <row r="10" spans="1:20" s="268" customFormat="1" ht="13.2">
      <c r="A10" s="250"/>
      <c r="B10" s="250" t="str">
        <f>'Financial Statements'!B10</f>
        <v>Revenue</v>
      </c>
      <c r="C10" s="247">
        <f t="shared" ref="C10:Q10" si="1">SUM(C12,C18:C19)</f>
        <v>37403</v>
      </c>
      <c r="D10" s="247">
        <f t="shared" si="1"/>
        <v>44538</v>
      </c>
      <c r="E10" s="247">
        <f t="shared" si="1"/>
        <v>46710</v>
      </c>
      <c r="F10" s="247">
        <f t="shared" si="1"/>
        <v>51217</v>
      </c>
      <c r="G10" s="247">
        <f t="shared" si="1"/>
        <v>51362</v>
      </c>
      <c r="H10" s="247">
        <f t="shared" si="1"/>
        <v>46309</v>
      </c>
      <c r="I10" s="261">
        <f t="shared" si="1"/>
        <v>46816.5005397204</v>
      </c>
      <c r="J10" s="261">
        <f t="shared" si="1"/>
        <v>48604.807805292243</v>
      </c>
      <c r="K10" s="261">
        <f t="shared" si="1"/>
        <v>51099.318142062592</v>
      </c>
      <c r="L10" s="261">
        <f t="shared" si="1"/>
        <v>54096.745512957081</v>
      </c>
      <c r="M10" s="261">
        <f t="shared" si="1"/>
        <v>57317.950485696187</v>
      </c>
      <c r="N10" s="261">
        <f t="shared" si="1"/>
        <v>62220.860486669815</v>
      </c>
      <c r="O10" s="261">
        <f t="shared" si="1"/>
        <v>66263.242121421645</v>
      </c>
      <c r="P10" s="261">
        <f t="shared" si="1"/>
        <v>70464.973863387233</v>
      </c>
      <c r="Q10" s="261">
        <f t="shared" si="1"/>
        <v>74822.066286893038</v>
      </c>
    </row>
    <row r="11" spans="1:20" ht="13.2">
      <c r="B11" s="17" t="s">
        <v>77</v>
      </c>
      <c r="C11" s="262"/>
      <c r="D11" s="263"/>
      <c r="E11" s="263"/>
      <c r="F11" s="263"/>
      <c r="G11" s="263"/>
      <c r="H11" s="263"/>
      <c r="I11" s="264"/>
      <c r="J11" s="264"/>
      <c r="K11" s="264"/>
      <c r="L11" s="264"/>
      <c r="M11" s="264"/>
      <c r="N11" s="264"/>
      <c r="O11" s="264"/>
      <c r="P11" s="264"/>
      <c r="Q11" s="264"/>
      <c r="R11" s="118"/>
      <c r="S11" s="118"/>
      <c r="T11" s="118"/>
    </row>
    <row r="12" spans="1:20" s="280" customFormat="1" ht="13.2">
      <c r="A12" s="250"/>
      <c r="B12" s="250" t="s">
        <v>78</v>
      </c>
      <c r="C12" s="247">
        <f t="shared" ref="C12:Q12" si="2">SUM(C13:C16)</f>
        <v>35568</v>
      </c>
      <c r="D12" s="247">
        <f t="shared" si="2"/>
        <v>42293</v>
      </c>
      <c r="E12" s="247">
        <f t="shared" si="2"/>
        <v>44436</v>
      </c>
      <c r="F12" s="247">
        <f t="shared" si="2"/>
        <v>48763</v>
      </c>
      <c r="G12" s="247">
        <f t="shared" si="2"/>
        <v>49322</v>
      </c>
      <c r="H12" s="247">
        <f t="shared" si="2"/>
        <v>44714</v>
      </c>
      <c r="I12" s="261">
        <f t="shared" si="2"/>
        <v>45574.340539720397</v>
      </c>
      <c r="J12" s="261">
        <f t="shared" si="2"/>
        <v>47345.122713228309</v>
      </c>
      <c r="K12" s="261">
        <f t="shared" si="2"/>
        <v>49786.185737896369</v>
      </c>
      <c r="L12" s="261">
        <f t="shared" si="2"/>
        <v>52704.117528545365</v>
      </c>
      <c r="M12" s="261">
        <f t="shared" si="2"/>
        <v>55815.227283684675</v>
      </c>
      <c r="N12" s="261">
        <f t="shared" si="2"/>
        <v>60571.047135150548</v>
      </c>
      <c r="O12" s="261">
        <f t="shared" si="2"/>
        <v>64454.211674132108</v>
      </c>
      <c r="P12" s="261">
        <f t="shared" si="2"/>
        <v>68519.990995435903</v>
      </c>
      <c r="Q12" s="261">
        <f t="shared" si="2"/>
        <v>72771.673601161339</v>
      </c>
      <c r="R12" s="277"/>
      <c r="S12" s="277"/>
      <c r="T12" s="277"/>
    </row>
    <row r="13" spans="1:20" s="280" customFormat="1" ht="13.2">
      <c r="A13" s="17"/>
      <c r="B13" s="17" t="s">
        <v>79</v>
      </c>
      <c r="C13" s="42">
        <v>23305</v>
      </c>
      <c r="D13" s="42">
        <v>28021</v>
      </c>
      <c r="E13" s="42">
        <v>29143</v>
      </c>
      <c r="F13" s="42">
        <v>33135</v>
      </c>
      <c r="G13" s="42">
        <v>33427</v>
      </c>
      <c r="H13" s="42">
        <v>29510</v>
      </c>
      <c r="I13" s="265">
        <f t="shared" ref="I13:Q13" si="3">H13*(1+I26)</f>
        <v>30247.749999999996</v>
      </c>
      <c r="J13" s="265">
        <f t="shared" si="3"/>
        <v>31608.898749999993</v>
      </c>
      <c r="K13" s="265">
        <f t="shared" si="3"/>
        <v>33347.388181249989</v>
      </c>
      <c r="L13" s="265">
        <f t="shared" si="3"/>
        <v>35514.968413031238</v>
      </c>
      <c r="M13" s="265">
        <f t="shared" si="3"/>
        <v>37823.441359878263</v>
      </c>
      <c r="N13" s="265">
        <f t="shared" si="3"/>
        <v>41794.90270266548</v>
      </c>
      <c r="O13" s="265">
        <f t="shared" si="3"/>
        <v>44929.520405365387</v>
      </c>
      <c r="P13" s="265">
        <f t="shared" si="3"/>
        <v>48299.234435767787</v>
      </c>
      <c r="Q13" s="265">
        <f t="shared" si="3"/>
        <v>51921.677018450369</v>
      </c>
      <c r="R13" s="277" t="s">
        <v>392</v>
      </c>
      <c r="S13" s="277"/>
      <c r="T13" s="277"/>
    </row>
    <row r="14" spans="1:20" s="280" customFormat="1" ht="12.75" customHeight="1">
      <c r="A14" s="17"/>
      <c r="B14" s="17" t="s">
        <v>80</v>
      </c>
      <c r="C14" s="42">
        <v>10953</v>
      </c>
      <c r="D14" s="42">
        <v>12865</v>
      </c>
      <c r="E14" s="42">
        <v>13567</v>
      </c>
      <c r="F14" s="42">
        <v>13843</v>
      </c>
      <c r="G14" s="42">
        <v>13775</v>
      </c>
      <c r="H14" s="42">
        <v>12965</v>
      </c>
      <c r="I14" s="265">
        <f t="shared" ref="I14:Q14" si="4">H14*(1+I27)</f>
        <v>12835.35</v>
      </c>
      <c r="J14" s="265">
        <f t="shared" si="4"/>
        <v>12963.7035</v>
      </c>
      <c r="K14" s="265">
        <f t="shared" si="4"/>
        <v>13352.614605000001</v>
      </c>
      <c r="L14" s="265">
        <f t="shared" si="4"/>
        <v>13753.19304315</v>
      </c>
      <c r="M14" s="265">
        <f t="shared" si="4"/>
        <v>14165.7888344445</v>
      </c>
      <c r="N14" s="265">
        <f t="shared" si="4"/>
        <v>14590.762499477836</v>
      </c>
      <c r="O14" s="265">
        <f t="shared" si="4"/>
        <v>15028.485374462172</v>
      </c>
      <c r="P14" s="265">
        <f t="shared" si="4"/>
        <v>15479.339935696038</v>
      </c>
      <c r="Q14" s="265">
        <f t="shared" si="4"/>
        <v>15943.720133766919</v>
      </c>
      <c r="R14"/>
      <c r="S14"/>
      <c r="T14"/>
    </row>
    <row r="15" spans="1:20" ht="12.75" customHeight="1">
      <c r="B15" s="17" t="s">
        <v>81</v>
      </c>
      <c r="C15" s="42">
        <v>1280</v>
      </c>
      <c r="D15" s="42">
        <v>1382</v>
      </c>
      <c r="E15" s="42">
        <v>1624</v>
      </c>
      <c r="F15" s="42">
        <v>1727</v>
      </c>
      <c r="G15" s="42">
        <v>2075</v>
      </c>
      <c r="H15" s="42">
        <v>2191</v>
      </c>
      <c r="I15" s="265">
        <f t="shared" ref="I15:Q15" si="5">H15*(1+I28)</f>
        <v>2443.2405397203993</v>
      </c>
      <c r="J15" s="265">
        <f t="shared" si="5"/>
        <v>2724.5204632283103</v>
      </c>
      <c r="K15" s="265">
        <f t="shared" si="5"/>
        <v>3038.1829516463758</v>
      </c>
      <c r="L15" s="265">
        <f t="shared" si="5"/>
        <v>3387.9560723641293</v>
      </c>
      <c r="M15" s="265">
        <f t="shared" si="5"/>
        <v>3777.9970893619075</v>
      </c>
      <c r="N15" s="265">
        <f t="shared" si="5"/>
        <v>4137.381933007232</v>
      </c>
      <c r="O15" s="265">
        <f t="shared" si="5"/>
        <v>4448.2058943045477</v>
      </c>
      <c r="P15" s="265">
        <f t="shared" si="5"/>
        <v>4693.4166239720798</v>
      </c>
      <c r="Q15" s="265">
        <f t="shared" si="5"/>
        <v>4858.2764489440488</v>
      </c>
      <c r="R15"/>
      <c r="S15"/>
      <c r="T15"/>
    </row>
    <row r="16" spans="1:20" s="280" customFormat="1" ht="12.75" customHeight="1">
      <c r="A16" s="17"/>
      <c r="B16" s="17" t="s">
        <v>82</v>
      </c>
      <c r="C16" s="42">
        <v>30</v>
      </c>
      <c r="D16" s="42">
        <v>25</v>
      </c>
      <c r="E16" s="42">
        <v>102</v>
      </c>
      <c r="F16" s="42">
        <v>58</v>
      </c>
      <c r="G16" s="42">
        <v>45</v>
      </c>
      <c r="H16" s="42">
        <v>48</v>
      </c>
      <c r="I16" s="265">
        <f t="shared" ref="I16:Q16" si="6">H16*(1+I29)</f>
        <v>48</v>
      </c>
      <c r="J16" s="265">
        <f t="shared" si="6"/>
        <v>48</v>
      </c>
      <c r="K16" s="265">
        <f t="shared" si="6"/>
        <v>48</v>
      </c>
      <c r="L16" s="265">
        <f t="shared" si="6"/>
        <v>48</v>
      </c>
      <c r="M16" s="265">
        <f t="shared" si="6"/>
        <v>48</v>
      </c>
      <c r="N16" s="265">
        <f t="shared" si="6"/>
        <v>48</v>
      </c>
      <c r="O16" s="265">
        <f t="shared" si="6"/>
        <v>48</v>
      </c>
      <c r="P16" s="265">
        <f t="shared" si="6"/>
        <v>48</v>
      </c>
      <c r="Q16" s="265">
        <f t="shared" si="6"/>
        <v>48</v>
      </c>
      <c r="R16"/>
      <c r="S16"/>
      <c r="T16"/>
    </row>
    <row r="17" spans="1:20" s="280" customFormat="1" ht="12.75" customHeight="1">
      <c r="A17" s="17"/>
      <c r="B17" s="17"/>
      <c r="C17" s="42"/>
      <c r="D17" s="42"/>
      <c r="E17" s="42"/>
      <c r="F17" s="42"/>
      <c r="G17" s="42"/>
      <c r="H17" s="42"/>
      <c r="I17" s="261"/>
      <c r="J17" s="261"/>
      <c r="K17" s="261"/>
      <c r="L17" s="261"/>
      <c r="M17" s="261"/>
      <c r="N17" s="261"/>
      <c r="O17" s="261"/>
      <c r="P17" s="261"/>
      <c r="Q17" s="261"/>
      <c r="R17"/>
      <c r="S17"/>
      <c r="T17"/>
    </row>
    <row r="18" spans="1:20" ht="15.6">
      <c r="B18" s="17" t="s">
        <v>83</v>
      </c>
      <c r="C18" s="42">
        <v>1846</v>
      </c>
      <c r="D18" s="42">
        <v>2205</v>
      </c>
      <c r="E18" s="42">
        <v>2346</v>
      </c>
      <c r="F18" s="42">
        <v>2427</v>
      </c>
      <c r="G18" s="42">
        <v>2082</v>
      </c>
      <c r="H18" s="42">
        <v>1692</v>
      </c>
      <c r="I18" s="265">
        <f t="shared" ref="I18:Q18" si="7">H18*(1+I31)</f>
        <v>1319.76</v>
      </c>
      <c r="J18" s="265">
        <f t="shared" si="7"/>
        <v>1323.3170920639309</v>
      </c>
      <c r="K18" s="265">
        <f t="shared" si="7"/>
        <v>1366.5832841662173</v>
      </c>
      <c r="L18" s="265">
        <f t="shared" si="7"/>
        <v>1438.5957412117168</v>
      </c>
      <c r="M18" s="265">
        <f t="shared" si="7"/>
        <v>1543.1748279955102</v>
      </c>
      <c r="N18" s="265">
        <f t="shared" si="7"/>
        <v>1686.2198149048745</v>
      </c>
      <c r="O18" s="265">
        <f t="shared" si="7"/>
        <v>1842.5243936042882</v>
      </c>
      <c r="P18" s="265">
        <f t="shared" si="7"/>
        <v>1976.4671774872006</v>
      </c>
      <c r="Q18" s="265">
        <f t="shared" si="7"/>
        <v>2080.6176228861254</v>
      </c>
      <c r="R18"/>
      <c r="S18"/>
      <c r="T18"/>
    </row>
    <row r="19" spans="1:20" ht="15.6">
      <c r="B19" s="17" t="s">
        <v>84</v>
      </c>
      <c r="C19" s="42">
        <v>-11</v>
      </c>
      <c r="D19" s="42">
        <v>40</v>
      </c>
      <c r="E19" s="42">
        <v>-72</v>
      </c>
      <c r="F19" s="42">
        <v>27</v>
      </c>
      <c r="G19" s="42">
        <v>-42</v>
      </c>
      <c r="H19" s="42">
        <v>-97</v>
      </c>
      <c r="I19" s="265">
        <f t="shared" ref="I19:Q19" si="8">H19*(1+I32)</f>
        <v>-77.600000000000009</v>
      </c>
      <c r="J19" s="265">
        <f t="shared" si="8"/>
        <v>-63.632000000000005</v>
      </c>
      <c r="K19" s="265">
        <f t="shared" si="8"/>
        <v>-53.450880000000005</v>
      </c>
      <c r="L19" s="265">
        <f t="shared" si="8"/>
        <v>-45.967756800000004</v>
      </c>
      <c r="M19" s="265">
        <f t="shared" si="8"/>
        <v>-40.451625984000003</v>
      </c>
      <c r="N19" s="265">
        <f t="shared" si="8"/>
        <v>-36.406463385599999</v>
      </c>
      <c r="O19" s="265">
        <f t="shared" si="8"/>
        <v>-33.493946314751994</v>
      </c>
      <c r="P19" s="265">
        <f t="shared" si="8"/>
        <v>-31.484309535866874</v>
      </c>
      <c r="Q19" s="265">
        <f t="shared" si="8"/>
        <v>-30.224937154432197</v>
      </c>
      <c r="R19"/>
      <c r="S19"/>
      <c r="T19"/>
    </row>
    <row r="20" spans="1:20" ht="15.6">
      <c r="C20" s="251"/>
      <c r="D20" s="251"/>
      <c r="E20" s="251"/>
      <c r="F20" s="251"/>
      <c r="G20" s="251"/>
      <c r="H20" s="251"/>
      <c r="I20" s="248"/>
      <c r="J20" s="248"/>
      <c r="K20" s="248"/>
      <c r="L20" s="248"/>
      <c r="M20" s="248"/>
      <c r="N20" s="248"/>
      <c r="O20" s="248"/>
      <c r="P20" s="248"/>
      <c r="Q20" s="248"/>
      <c r="R20"/>
      <c r="S20"/>
      <c r="T20"/>
    </row>
    <row r="21" spans="1:20" ht="15.6">
      <c r="A21" s="168"/>
      <c r="B21" s="32" t="s">
        <v>85</v>
      </c>
      <c r="C21" s="39"/>
      <c r="D21" s="39"/>
      <c r="E21" s="39"/>
      <c r="F21" s="39"/>
      <c r="G21" s="39"/>
      <c r="H21" s="39" t="s">
        <v>86</v>
      </c>
      <c r="I21" s="39"/>
      <c r="J21" s="39"/>
      <c r="K21" s="39"/>
      <c r="L21" s="39"/>
      <c r="M21" s="39"/>
      <c r="N21" s="39"/>
      <c r="O21" s="39"/>
      <c r="P21" s="39"/>
      <c r="Q21" s="39"/>
      <c r="R21"/>
      <c r="S21"/>
      <c r="T21"/>
    </row>
    <row r="22" spans="1:20" ht="15.6">
      <c r="C22" s="251"/>
      <c r="D22" s="251"/>
      <c r="E22" s="251"/>
      <c r="F22" s="251"/>
      <c r="G22" s="251"/>
      <c r="H22" s="251"/>
      <c r="I22" s="266"/>
      <c r="J22" s="266"/>
      <c r="K22" s="266"/>
      <c r="L22" s="266"/>
      <c r="M22" s="266"/>
      <c r="N22" s="266"/>
      <c r="O22" s="266"/>
      <c r="P22" s="266"/>
      <c r="Q22" s="266"/>
      <c r="R22"/>
      <c r="S22"/>
      <c r="T22"/>
    </row>
    <row r="23" spans="1:20" ht="15.6">
      <c r="B23" s="252" t="s">
        <v>87</v>
      </c>
      <c r="C23" s="253"/>
      <c r="D23" s="258">
        <f t="shared" ref="D23:Q23" si="9">D10/C10-1</f>
        <v>0.19076009945726269</v>
      </c>
      <c r="E23" s="258">
        <f t="shared" si="9"/>
        <v>4.8767344739323759E-2</v>
      </c>
      <c r="F23" s="258">
        <f t="shared" si="9"/>
        <v>9.6488974523656568E-2</v>
      </c>
      <c r="G23" s="258">
        <f t="shared" si="9"/>
        <v>2.8310912392370824E-3</v>
      </c>
      <c r="H23" s="258">
        <f t="shared" si="9"/>
        <v>-9.8380125384525563E-2</v>
      </c>
      <c r="I23" s="267">
        <f t="shared" si="9"/>
        <v>1.0959004507123948E-2</v>
      </c>
      <c r="J23" s="267">
        <f t="shared" si="9"/>
        <v>3.8198225945029751E-2</v>
      </c>
      <c r="K23" s="267">
        <f t="shared" si="9"/>
        <v>5.1322296073326612E-2</v>
      </c>
      <c r="L23" s="267">
        <f t="shared" si="9"/>
        <v>5.8658852600758093E-2</v>
      </c>
      <c r="M23" s="267">
        <f t="shared" si="9"/>
        <v>5.9545263623438816E-2</v>
      </c>
      <c r="N23" s="267">
        <f t="shared" si="9"/>
        <v>8.5538822645048418E-2</v>
      </c>
      <c r="O23" s="267">
        <f t="shared" si="9"/>
        <v>6.4968269534264378E-2</v>
      </c>
      <c r="P23" s="267">
        <f t="shared" si="9"/>
        <v>6.3409691518961253E-2</v>
      </c>
      <c r="Q23" s="267">
        <f t="shared" si="9"/>
        <v>6.1833449792418005E-2</v>
      </c>
      <c r="R23"/>
      <c r="S23"/>
      <c r="T23"/>
    </row>
    <row r="24" spans="1:20" s="280" customFormat="1" ht="15.6">
      <c r="A24" s="17"/>
      <c r="B24" s="252"/>
      <c r="C24" s="253"/>
      <c r="D24" s="260"/>
      <c r="E24" s="260"/>
      <c r="F24" s="260"/>
      <c r="G24" s="260"/>
      <c r="H24" s="260"/>
      <c r="I24" s="259"/>
      <c r="J24" s="259"/>
      <c r="K24" s="259"/>
      <c r="L24" s="259"/>
      <c r="M24" s="259"/>
      <c r="N24" s="259"/>
      <c r="O24" s="259"/>
      <c r="P24" s="259"/>
      <c r="Q24" s="259"/>
      <c r="R24"/>
      <c r="S24"/>
      <c r="T24"/>
    </row>
    <row r="25" spans="1:20" s="280" customFormat="1" ht="15.6">
      <c r="A25" s="17"/>
      <c r="B25" s="252" t="s">
        <v>88</v>
      </c>
      <c r="C25" s="253"/>
      <c r="D25" s="258">
        <f t="shared" ref="D25:Q25" si="10">D12/C12-1</f>
        <v>0.18907444894286995</v>
      </c>
      <c r="E25" s="258">
        <f t="shared" si="10"/>
        <v>5.0670323694228303E-2</v>
      </c>
      <c r="F25" s="258">
        <f t="shared" si="10"/>
        <v>9.7376001440273585E-2</v>
      </c>
      <c r="G25" s="258">
        <f t="shared" si="10"/>
        <v>1.1463609704079003E-2</v>
      </c>
      <c r="H25" s="258">
        <f t="shared" si="10"/>
        <v>-9.3426868334617441E-2</v>
      </c>
      <c r="I25" s="267">
        <f t="shared" si="10"/>
        <v>1.9240965686818434E-2</v>
      </c>
      <c r="J25" s="267">
        <f t="shared" si="10"/>
        <v>3.8854806290934407E-2</v>
      </c>
      <c r="K25" s="267">
        <f t="shared" si="10"/>
        <v>5.1558912191519646E-2</v>
      </c>
      <c r="L25" s="267">
        <f t="shared" si="10"/>
        <v>5.8609265751160322E-2</v>
      </c>
      <c r="M25" s="267">
        <f t="shared" si="10"/>
        <v>5.9029728625173972E-2</v>
      </c>
      <c r="N25" s="267">
        <f t="shared" si="10"/>
        <v>8.5206494408669009E-2</v>
      </c>
      <c r="O25" s="267">
        <f t="shared" si="10"/>
        <v>6.4109252235926562E-2</v>
      </c>
      <c r="P25" s="267">
        <f t="shared" si="10"/>
        <v>6.3080118671834606E-2</v>
      </c>
      <c r="Q25" s="267">
        <f t="shared" si="10"/>
        <v>6.2050250502931892E-2</v>
      </c>
      <c r="R25"/>
      <c r="S25"/>
      <c r="T25"/>
    </row>
    <row r="26" spans="1:20" ht="15.6">
      <c r="B26" s="252" t="s">
        <v>89</v>
      </c>
      <c r="C26" s="253"/>
      <c r="D26" s="258">
        <f t="shared" ref="D26:H29" si="11">D13/C13-1</f>
        <v>0.20236000858184933</v>
      </c>
      <c r="E26" s="258">
        <f t="shared" si="11"/>
        <v>4.004139752328606E-2</v>
      </c>
      <c r="F26" s="258">
        <f t="shared" si="11"/>
        <v>0.13697972068764375</v>
      </c>
      <c r="G26" s="258">
        <f t="shared" si="11"/>
        <v>8.8124339821940012E-3</v>
      </c>
      <c r="H26" s="258">
        <f t="shared" si="11"/>
        <v>-0.1171807221707003</v>
      </c>
      <c r="I26" s="259">
        <v>2.5000000000000001E-2</v>
      </c>
      <c r="J26" s="259">
        <f>I26+0.02</f>
        <v>4.4999999999999998E-2</v>
      </c>
      <c r="K26" s="259">
        <f>J26+0.01</f>
        <v>5.5E-2</v>
      </c>
      <c r="L26" s="259">
        <f>K26+0.01</f>
        <v>6.5000000000000002E-2</v>
      </c>
      <c r="M26" s="259">
        <f>L26</f>
        <v>6.5000000000000002E-2</v>
      </c>
      <c r="N26" s="259">
        <f>M26+0.04</f>
        <v>0.10500000000000001</v>
      </c>
      <c r="O26" s="259">
        <f>N26-0.03</f>
        <v>7.5000000000000011E-2</v>
      </c>
      <c r="P26" s="259">
        <f>O26</f>
        <v>7.5000000000000011E-2</v>
      </c>
      <c r="Q26" s="259">
        <f>P26</f>
        <v>7.5000000000000011E-2</v>
      </c>
      <c r="R26"/>
      <c r="S26"/>
      <c r="T26"/>
    </row>
    <row r="27" spans="1:20" ht="15.6">
      <c r="B27" s="252" t="s">
        <v>90</v>
      </c>
      <c r="C27" s="253"/>
      <c r="D27" s="258">
        <f t="shared" si="11"/>
        <v>0.17456404637998713</v>
      </c>
      <c r="E27" s="258">
        <f t="shared" si="11"/>
        <v>5.4566653711620727E-2</v>
      </c>
      <c r="F27" s="258">
        <f t="shared" si="11"/>
        <v>2.0343480504164457E-2</v>
      </c>
      <c r="G27" s="258">
        <f t="shared" si="11"/>
        <v>-4.9122300079462722E-3</v>
      </c>
      <c r="H27" s="258">
        <f t="shared" si="11"/>
        <v>-5.880217785843922E-2</v>
      </c>
      <c r="I27" s="259">
        <v>-0.01</v>
      </c>
      <c r="J27" s="259">
        <f>I27+0.02</f>
        <v>0.01</v>
      </c>
      <c r="K27" s="259">
        <f>J27+0.02</f>
        <v>0.03</v>
      </c>
      <c r="L27" s="259">
        <f>K27</f>
        <v>0.03</v>
      </c>
      <c r="M27" s="259">
        <f>L27</f>
        <v>0.03</v>
      </c>
      <c r="N27" s="259">
        <f>M27</f>
        <v>0.03</v>
      </c>
      <c r="O27" s="259">
        <f>N27</f>
        <v>0.03</v>
      </c>
      <c r="P27" s="259">
        <f>O27</f>
        <v>0.03</v>
      </c>
      <c r="Q27" s="259">
        <f>P27</f>
        <v>0.03</v>
      </c>
      <c r="R27"/>
      <c r="S27"/>
      <c r="T27"/>
    </row>
    <row r="28" spans="1:20" s="280" customFormat="1" ht="12.75" customHeight="1">
      <c r="A28" s="17"/>
      <c r="B28" s="252" t="s">
        <v>91</v>
      </c>
      <c r="C28" s="253"/>
      <c r="D28" s="258">
        <f t="shared" si="11"/>
        <v>7.9687499999999911E-2</v>
      </c>
      <c r="E28" s="258">
        <f t="shared" si="11"/>
        <v>0.17510853835021711</v>
      </c>
      <c r="F28" s="258">
        <f t="shared" si="11"/>
        <v>6.3423645320197064E-2</v>
      </c>
      <c r="G28" s="258">
        <f t="shared" si="11"/>
        <v>0.20150550086855823</v>
      </c>
      <c r="H28" s="258">
        <f t="shared" si="11"/>
        <v>5.5903614457831319E-2</v>
      </c>
      <c r="I28" s="259">
        <f>AVERAGE(D28:H28)</f>
        <v>0.11512575979936072</v>
      </c>
      <c r="J28" s="259">
        <f>I28</f>
        <v>0.11512575979936072</v>
      </c>
      <c r="K28" s="259">
        <f>J28</f>
        <v>0.11512575979936072</v>
      </c>
      <c r="L28" s="259">
        <f>K28</f>
        <v>0.11512575979936072</v>
      </c>
      <c r="M28" s="259">
        <f>L28</f>
        <v>0.11512575979936072</v>
      </c>
      <c r="N28" s="259">
        <f>M28-0.02</f>
        <v>9.5125759799360721E-2</v>
      </c>
      <c r="O28" s="259">
        <f>N28-0.02</f>
        <v>7.5125759799360717E-2</v>
      </c>
      <c r="P28" s="259">
        <f>O28-0.02</f>
        <v>5.5125759799360713E-2</v>
      </c>
      <c r="Q28" s="259">
        <f>P28-0.02</f>
        <v>3.5125759799360709E-2</v>
      </c>
      <c r="R28"/>
      <c r="S28"/>
      <c r="T28"/>
    </row>
    <row r="29" spans="1:20" customFormat="1" ht="15.6">
      <c r="A29" s="17"/>
      <c r="B29" s="252" t="s">
        <v>92</v>
      </c>
      <c r="C29" s="253"/>
      <c r="D29" s="258">
        <f t="shared" si="11"/>
        <v>-0.16666666666666663</v>
      </c>
      <c r="E29" s="258">
        <f t="shared" si="11"/>
        <v>3.08</v>
      </c>
      <c r="F29" s="258">
        <f t="shared" si="11"/>
        <v>-0.43137254901960786</v>
      </c>
      <c r="G29" s="258">
        <f t="shared" si="11"/>
        <v>-0.22413793103448276</v>
      </c>
      <c r="H29" s="258">
        <f t="shared" si="11"/>
        <v>6.6666666666666652E-2</v>
      </c>
      <c r="I29" s="259">
        <v>0</v>
      </c>
      <c r="J29" s="259">
        <v>0</v>
      </c>
      <c r="K29" s="259">
        <v>0</v>
      </c>
      <c r="L29" s="259">
        <v>0</v>
      </c>
      <c r="M29" s="259">
        <v>0</v>
      </c>
      <c r="N29" s="259">
        <v>0</v>
      </c>
      <c r="O29" s="259">
        <v>0</v>
      </c>
      <c r="P29" s="259">
        <v>0</v>
      </c>
      <c r="Q29" s="259">
        <v>0</v>
      </c>
    </row>
    <row r="30" spans="1:20" ht="15.6">
      <c r="B30" s="252"/>
      <c r="C30" s="253"/>
      <c r="D30" s="258"/>
      <c r="E30" s="258"/>
      <c r="F30" s="258"/>
      <c r="G30" s="258"/>
      <c r="H30" s="258"/>
      <c r="I30" s="259"/>
      <c r="J30" s="259"/>
      <c r="K30" s="259"/>
      <c r="L30" s="259"/>
      <c r="M30" s="259"/>
      <c r="N30" s="259"/>
      <c r="O30" s="259"/>
      <c r="P30" s="259"/>
      <c r="Q30" s="259"/>
      <c r="R30"/>
      <c r="S30"/>
      <c r="T30"/>
    </row>
    <row r="31" spans="1:20" s="280" customFormat="1" ht="12.75" customHeight="1">
      <c r="A31" s="17"/>
      <c r="B31" s="252" t="s">
        <v>93</v>
      </c>
      <c r="C31" s="253"/>
      <c r="D31" s="258">
        <f t="shared" ref="D31:H32" si="12">D18/C18-1</f>
        <v>0.19447453954496208</v>
      </c>
      <c r="E31" s="258">
        <f t="shared" si="12"/>
        <v>6.3945578231292544E-2</v>
      </c>
      <c r="F31" s="258">
        <f t="shared" si="12"/>
        <v>3.4526854219948833E-2</v>
      </c>
      <c r="G31" s="258">
        <f t="shared" si="12"/>
        <v>-0.14215080346106301</v>
      </c>
      <c r="H31" s="258">
        <f t="shared" si="12"/>
        <v>-0.18731988472622474</v>
      </c>
      <c r="I31" s="259">
        <v>-0.22</v>
      </c>
      <c r="J31" s="259">
        <f>AVERAGE(D31:H31)+0.01</f>
        <v>2.6952567617831401E-3</v>
      </c>
      <c r="K31" s="259">
        <f>J31+0.03</f>
        <v>3.2695256761783142E-2</v>
      </c>
      <c r="L31" s="259">
        <f t="shared" ref="L31:N32" si="13">K31+0.02</f>
        <v>5.2695256761783146E-2</v>
      </c>
      <c r="M31" s="259">
        <f t="shared" si="13"/>
        <v>7.269525676178315E-2</v>
      </c>
      <c r="N31" s="259">
        <f t="shared" si="13"/>
        <v>9.2695256761783154E-2</v>
      </c>
      <c r="O31" s="259">
        <f>N31</f>
        <v>9.2695256761783154E-2</v>
      </c>
      <c r="P31" s="259">
        <f>O31-0.02</f>
        <v>7.269525676178315E-2</v>
      </c>
      <c r="Q31" s="259">
        <f>P31-0.02</f>
        <v>5.2695256761783146E-2</v>
      </c>
      <c r="R31"/>
      <c r="S31"/>
      <c r="T31"/>
    </row>
    <row r="32" spans="1:20" customFormat="1" ht="15.6">
      <c r="A32" s="17"/>
      <c r="B32" s="252" t="s">
        <v>94</v>
      </c>
      <c r="C32" s="253"/>
      <c r="D32" s="258">
        <f t="shared" si="12"/>
        <v>-4.6363636363636367</v>
      </c>
      <c r="E32" s="258">
        <f t="shared" si="12"/>
        <v>-2.8</v>
      </c>
      <c r="F32" s="258">
        <f t="shared" si="12"/>
        <v>-1.375</v>
      </c>
      <c r="G32" s="258">
        <f t="shared" si="12"/>
        <v>-2.5555555555555554</v>
      </c>
      <c r="H32" s="258">
        <f t="shared" si="12"/>
        <v>1.3095238095238093</v>
      </c>
      <c r="I32" s="259">
        <v>-0.2</v>
      </c>
      <c r="J32" s="259">
        <f>I32+0.02</f>
        <v>-0.18000000000000002</v>
      </c>
      <c r="K32" s="259">
        <f>J32+0.02</f>
        <v>-0.16000000000000003</v>
      </c>
      <c r="L32" s="259">
        <f t="shared" si="13"/>
        <v>-0.14000000000000004</v>
      </c>
      <c r="M32" s="259">
        <f t="shared" si="13"/>
        <v>-0.12000000000000004</v>
      </c>
      <c r="N32" s="259">
        <f t="shared" si="13"/>
        <v>-0.10000000000000003</v>
      </c>
      <c r="O32" s="259">
        <f>N32+0.02</f>
        <v>-8.0000000000000029E-2</v>
      </c>
      <c r="P32" s="259">
        <f>O32+0.02</f>
        <v>-6.0000000000000026E-2</v>
      </c>
      <c r="Q32" s="259">
        <f>P32+0.02</f>
        <v>-4.0000000000000022E-2</v>
      </c>
    </row>
    <row r="33" spans="1:20" customFormat="1" ht="15.6">
      <c r="A33" s="17"/>
      <c r="B33" s="17"/>
      <c r="C33" s="251"/>
      <c r="D33" s="251"/>
      <c r="E33" s="251"/>
      <c r="F33" s="251"/>
      <c r="G33" s="251"/>
      <c r="H33" s="251"/>
      <c r="I33" s="248"/>
      <c r="J33" s="248"/>
      <c r="K33" s="248"/>
      <c r="L33" s="248"/>
      <c r="M33" s="248"/>
      <c r="N33" s="248"/>
      <c r="O33" s="248"/>
      <c r="P33" s="248"/>
      <c r="Q33" s="248"/>
    </row>
    <row r="34" spans="1:20" s="280" customFormat="1" ht="12.75" customHeight="1">
      <c r="A34" s="168"/>
      <c r="B34" s="32" t="s">
        <v>95</v>
      </c>
      <c r="C34" s="39"/>
      <c r="D34" s="39"/>
      <c r="E34" s="39"/>
      <c r="F34" s="39"/>
      <c r="G34" s="39"/>
      <c r="H34" s="39" t="s">
        <v>86</v>
      </c>
      <c r="I34" s="39"/>
      <c r="J34" s="39"/>
      <c r="K34" s="39"/>
      <c r="L34" s="39"/>
      <c r="M34" s="39"/>
      <c r="N34" s="39"/>
      <c r="O34" s="39"/>
      <c r="P34" s="39"/>
      <c r="Q34" s="39"/>
      <c r="R34"/>
      <c r="S34"/>
      <c r="T34"/>
    </row>
    <row r="35" spans="1:20" customFormat="1" ht="15.6">
      <c r="A35" s="17"/>
      <c r="B35" s="17"/>
      <c r="C35" s="251"/>
      <c r="D35" s="251"/>
      <c r="E35" s="251"/>
      <c r="F35" s="251"/>
      <c r="G35" s="251"/>
      <c r="H35" s="251"/>
      <c r="I35" s="248"/>
      <c r="J35" s="248"/>
      <c r="K35" s="248"/>
      <c r="L35" s="248"/>
      <c r="M35" s="248"/>
      <c r="N35" s="248"/>
      <c r="O35" s="248"/>
      <c r="P35" s="248"/>
      <c r="Q35" s="248"/>
    </row>
    <row r="36" spans="1:20" s="280" customFormat="1" ht="12.75" customHeight="1">
      <c r="A36" s="17"/>
      <c r="B36" s="17" t="s">
        <v>96</v>
      </c>
      <c r="C36" s="251">
        <f t="shared" ref="C36:Q36" si="14">SUM(C38:C40)</f>
        <v>37403</v>
      </c>
      <c r="D36" s="251">
        <f t="shared" si="14"/>
        <v>44538</v>
      </c>
      <c r="E36" s="251">
        <f t="shared" si="14"/>
        <v>46710</v>
      </c>
      <c r="F36" s="251">
        <f t="shared" si="14"/>
        <v>51217</v>
      </c>
      <c r="G36" s="251">
        <f t="shared" si="14"/>
        <v>51362</v>
      </c>
      <c r="H36" s="251">
        <f t="shared" si="14"/>
        <v>46309</v>
      </c>
      <c r="I36" s="249">
        <f t="shared" si="14"/>
        <v>46708.254687266242</v>
      </c>
      <c r="J36" s="249">
        <f t="shared" si="14"/>
        <v>48660.381383354681</v>
      </c>
      <c r="K36" s="249">
        <f t="shared" si="14"/>
        <v>50934.666662688338</v>
      </c>
      <c r="L36" s="249">
        <f t="shared" si="14"/>
        <v>53855.004745966078</v>
      </c>
      <c r="M36" s="249">
        <f t="shared" si="14"/>
        <v>57014.21408554622</v>
      </c>
      <c r="N36" s="249">
        <f t="shared" si="14"/>
        <v>62162.195610427108</v>
      </c>
      <c r="O36" s="249">
        <f t="shared" si="14"/>
        <v>66186.410552148925</v>
      </c>
      <c r="P36" s="249">
        <f t="shared" si="14"/>
        <v>70479.129590693687</v>
      </c>
      <c r="Q36" s="249">
        <f t="shared" si="14"/>
        <v>75134.2845171566</v>
      </c>
      <c r="R36"/>
      <c r="S36"/>
      <c r="T36"/>
    </row>
    <row r="37" spans="1:20" customFormat="1" ht="15.6">
      <c r="A37" s="17"/>
      <c r="B37" s="17"/>
      <c r="C37" s="42"/>
      <c r="D37" s="42"/>
      <c r="E37" s="42"/>
      <c r="F37" s="42"/>
      <c r="G37" s="42"/>
      <c r="H37" s="42"/>
      <c r="I37" s="248"/>
      <c r="J37" s="248"/>
      <c r="K37" s="248"/>
      <c r="L37" s="248"/>
      <c r="M37" s="248"/>
      <c r="N37" s="248"/>
      <c r="O37" s="248"/>
      <c r="P37" s="248"/>
      <c r="Q37" s="248"/>
    </row>
    <row r="38" spans="1:20" s="280" customFormat="1" ht="12.75" customHeight="1">
      <c r="A38" s="17"/>
      <c r="B38" s="17" t="s">
        <v>1</v>
      </c>
      <c r="C38" s="42">
        <v>35568</v>
      </c>
      <c r="D38" s="42">
        <v>42293</v>
      </c>
      <c r="E38" s="42">
        <v>44436</v>
      </c>
      <c r="F38" s="42">
        <v>48763</v>
      </c>
      <c r="G38" s="42">
        <v>49322</v>
      </c>
      <c r="H38" s="42">
        <v>44714</v>
      </c>
      <c r="I38" s="254">
        <v>45429.364346474991</v>
      </c>
      <c r="J38" s="254">
        <v>47373.680623485059</v>
      </c>
      <c r="K38" s="254">
        <v>49610.313990802497</v>
      </c>
      <c r="L38" s="254">
        <v>52491.955084957241</v>
      </c>
      <c r="M38" s="254">
        <v>55575.149777316525</v>
      </c>
      <c r="N38" s="254">
        <v>60558.502030884571</v>
      </c>
      <c r="O38" s="254">
        <v>64405.492100011572</v>
      </c>
      <c r="P38" s="254">
        <v>68602.509779411324</v>
      </c>
      <c r="Q38" s="254">
        <v>73156.133139564219</v>
      </c>
      <c r="R38"/>
      <c r="S38"/>
      <c r="T38"/>
    </row>
    <row r="39" spans="1:20" s="280" customFormat="1" ht="12.75" customHeight="1">
      <c r="A39" s="17"/>
      <c r="B39" s="17" t="s">
        <v>97</v>
      </c>
      <c r="C39" s="42">
        <v>1846</v>
      </c>
      <c r="D39" s="42">
        <v>2205</v>
      </c>
      <c r="E39" s="42">
        <v>2346</v>
      </c>
      <c r="F39" s="42">
        <v>2427</v>
      </c>
      <c r="G39" s="42">
        <v>2082</v>
      </c>
      <c r="H39" s="42">
        <v>1692</v>
      </c>
      <c r="I39" s="254">
        <v>1319.3511884421355</v>
      </c>
      <c r="J39" s="254">
        <v>1340.0663790198437</v>
      </c>
      <c r="K39" s="254">
        <v>1383.7193691825983</v>
      </c>
      <c r="L39" s="254">
        <v>1440.5069265088396</v>
      </c>
      <c r="M39" s="254">
        <v>1517.390291694697</v>
      </c>
      <c r="N39" s="254">
        <v>1682.9143425114908</v>
      </c>
      <c r="O39" s="254">
        <v>1844.203223853392</v>
      </c>
      <c r="P39" s="254">
        <v>1941.8031261498809</v>
      </c>
      <c r="Q39" s="254">
        <v>2045.2901919059259</v>
      </c>
      <c r="R39"/>
      <c r="S39"/>
      <c r="T39"/>
    </row>
    <row r="40" spans="1:20" s="280" customFormat="1" ht="12.75" customHeight="1">
      <c r="A40" s="17"/>
      <c r="B40" s="17" t="s">
        <v>98</v>
      </c>
      <c r="C40" s="42">
        <v>-11</v>
      </c>
      <c r="D40" s="42">
        <v>40</v>
      </c>
      <c r="E40" s="42">
        <v>-72</v>
      </c>
      <c r="F40" s="42">
        <v>27</v>
      </c>
      <c r="G40" s="42">
        <v>-42</v>
      </c>
      <c r="H40" s="42">
        <v>-97</v>
      </c>
      <c r="I40" s="254">
        <v>-40.460847650884205</v>
      </c>
      <c r="J40" s="254">
        <v>-53.365619150223267</v>
      </c>
      <c r="K40" s="254">
        <v>-59.366697296756747</v>
      </c>
      <c r="L40" s="254">
        <v>-77.457265500000005</v>
      </c>
      <c r="M40" s="254">
        <v>-78.325983465000007</v>
      </c>
      <c r="N40" s="254">
        <v>-79.220762968949998</v>
      </c>
      <c r="O40" s="254">
        <v>-63.284771716037021</v>
      </c>
      <c r="P40" s="254">
        <v>-65.183314867518135</v>
      </c>
      <c r="Q40" s="254">
        <v>-67.138814313543676</v>
      </c>
      <c r="R40"/>
      <c r="S40"/>
      <c r="T40"/>
    </row>
    <row r="41" spans="1:20" customFormat="1" ht="15.6">
      <c r="A41" s="17"/>
      <c r="B41" s="17"/>
      <c r="C41" s="251"/>
      <c r="D41" s="251"/>
      <c r="E41" s="251"/>
      <c r="F41" s="251"/>
      <c r="G41" s="251"/>
      <c r="H41" s="251"/>
      <c r="I41" s="17"/>
      <c r="J41" s="17"/>
      <c r="K41" s="17"/>
      <c r="L41" s="17"/>
      <c r="M41" s="17"/>
      <c r="N41" s="17"/>
      <c r="O41" s="17"/>
      <c r="P41" s="17"/>
      <c r="Q41" s="17"/>
    </row>
    <row r="42" spans="1:20" ht="15.6">
      <c r="A42" s="168"/>
      <c r="B42" s="32" t="s">
        <v>99</v>
      </c>
      <c r="C42" s="39"/>
      <c r="D42" s="39"/>
      <c r="E42" s="39"/>
      <c r="F42" s="39"/>
      <c r="G42" s="39"/>
      <c r="H42" s="39" t="s">
        <v>86</v>
      </c>
      <c r="I42" s="39"/>
      <c r="J42" s="39"/>
      <c r="K42" s="39"/>
      <c r="L42" s="39"/>
      <c r="M42" s="39"/>
      <c r="N42" s="39"/>
      <c r="O42" s="39"/>
      <c r="P42" s="39"/>
      <c r="Q42" s="39"/>
      <c r="R42"/>
      <c r="S42"/>
      <c r="T42"/>
    </row>
    <row r="43" spans="1:20" ht="15.6">
      <c r="C43" s="251"/>
      <c r="D43" s="251"/>
      <c r="E43" s="251"/>
      <c r="F43" s="251"/>
      <c r="G43" s="251"/>
      <c r="H43" s="251"/>
      <c r="R43"/>
      <c r="S43"/>
      <c r="T43"/>
    </row>
    <row r="44" spans="1:20" ht="15.6">
      <c r="B44" s="17" t="s">
        <v>96</v>
      </c>
      <c r="C44" s="251">
        <f t="shared" ref="C44:Q44" si="15">C10-C36</f>
        <v>0</v>
      </c>
      <c r="D44" s="251">
        <f t="shared" si="15"/>
        <v>0</v>
      </c>
      <c r="E44" s="251">
        <f t="shared" si="15"/>
        <v>0</v>
      </c>
      <c r="F44" s="251">
        <f t="shared" si="15"/>
        <v>0</v>
      </c>
      <c r="G44" s="251">
        <f t="shared" si="15"/>
        <v>0</v>
      </c>
      <c r="H44" s="251">
        <f t="shared" si="15"/>
        <v>0</v>
      </c>
      <c r="I44" s="251">
        <f t="shared" si="15"/>
        <v>108.24585245415801</v>
      </c>
      <c r="J44" s="251">
        <f t="shared" si="15"/>
        <v>-55.573578062438173</v>
      </c>
      <c r="K44" s="251">
        <f t="shared" si="15"/>
        <v>164.65147937425354</v>
      </c>
      <c r="L44" s="251">
        <f t="shared" si="15"/>
        <v>241.7407669910026</v>
      </c>
      <c r="M44" s="251">
        <f t="shared" si="15"/>
        <v>303.73640014996636</v>
      </c>
      <c r="N44" s="251">
        <f t="shared" si="15"/>
        <v>58.664876242706669</v>
      </c>
      <c r="O44" s="251">
        <f t="shared" si="15"/>
        <v>76.831569272719207</v>
      </c>
      <c r="P44" s="251">
        <f t="shared" si="15"/>
        <v>-14.155727306453628</v>
      </c>
      <c r="Q44" s="251">
        <f t="shared" si="15"/>
        <v>-312.21823026356287</v>
      </c>
      <c r="R44"/>
      <c r="S44"/>
      <c r="T44"/>
    </row>
    <row r="45" spans="1:20" ht="15.6"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/>
      <c r="S45"/>
      <c r="T45"/>
    </row>
    <row r="46" spans="1:20" ht="15.6">
      <c r="B46" s="17" t="s">
        <v>1</v>
      </c>
      <c r="C46" s="251">
        <f t="shared" ref="C46:Q46" si="16">C12-C38</f>
        <v>0</v>
      </c>
      <c r="D46" s="251">
        <f t="shared" si="16"/>
        <v>0</v>
      </c>
      <c r="E46" s="251">
        <f t="shared" si="16"/>
        <v>0</v>
      </c>
      <c r="F46" s="251">
        <f t="shared" si="16"/>
        <v>0</v>
      </c>
      <c r="G46" s="251">
        <f t="shared" si="16"/>
        <v>0</v>
      </c>
      <c r="H46" s="251">
        <f t="shared" si="16"/>
        <v>0</v>
      </c>
      <c r="I46" s="251">
        <f t="shared" si="16"/>
        <v>144.97619324540574</v>
      </c>
      <c r="J46" s="251">
        <f t="shared" si="16"/>
        <v>-28.557910256749892</v>
      </c>
      <c r="K46" s="251">
        <f t="shared" si="16"/>
        <v>175.87174709387182</v>
      </c>
      <c r="L46" s="251">
        <f t="shared" si="16"/>
        <v>212.16244358812401</v>
      </c>
      <c r="M46" s="251">
        <f t="shared" si="16"/>
        <v>240.07750636815035</v>
      </c>
      <c r="N46" s="251">
        <f t="shared" si="16"/>
        <v>12.545104265976988</v>
      </c>
      <c r="O46" s="251">
        <f t="shared" si="16"/>
        <v>48.719574120535981</v>
      </c>
      <c r="P46" s="251">
        <f t="shared" si="16"/>
        <v>-82.518783975421684</v>
      </c>
      <c r="Q46" s="251">
        <f t="shared" si="16"/>
        <v>-384.45953840287984</v>
      </c>
      <c r="R46"/>
      <c r="S46"/>
      <c r="T46"/>
    </row>
    <row r="47" spans="1:20" ht="15.6">
      <c r="B47" s="17" t="s">
        <v>97</v>
      </c>
      <c r="C47" s="251">
        <f t="shared" ref="C47:Q47" si="17">C18-C39</f>
        <v>0</v>
      </c>
      <c r="D47" s="251">
        <f t="shared" si="17"/>
        <v>0</v>
      </c>
      <c r="E47" s="251">
        <f t="shared" si="17"/>
        <v>0</v>
      </c>
      <c r="F47" s="251">
        <f t="shared" si="17"/>
        <v>0</v>
      </c>
      <c r="G47" s="251">
        <f t="shared" si="17"/>
        <v>0</v>
      </c>
      <c r="H47" s="251">
        <f t="shared" si="17"/>
        <v>0</v>
      </c>
      <c r="I47" s="251">
        <f t="shared" si="17"/>
        <v>0.40881155786451018</v>
      </c>
      <c r="J47" s="251">
        <f t="shared" si="17"/>
        <v>-16.749286955912794</v>
      </c>
      <c r="K47" s="251">
        <f t="shared" si="17"/>
        <v>-17.136085016381003</v>
      </c>
      <c r="L47" s="251">
        <f t="shared" si="17"/>
        <v>-1.9111852971227563</v>
      </c>
      <c r="M47" s="251">
        <f t="shared" si="17"/>
        <v>25.784536300813215</v>
      </c>
      <c r="N47" s="251">
        <f t="shared" si="17"/>
        <v>3.3054723933837522</v>
      </c>
      <c r="O47" s="251">
        <f t="shared" si="17"/>
        <v>-1.6788302491038394</v>
      </c>
      <c r="P47" s="251">
        <f t="shared" si="17"/>
        <v>34.664051337319734</v>
      </c>
      <c r="Q47" s="251">
        <f t="shared" si="17"/>
        <v>35.327430980199551</v>
      </c>
      <c r="R47"/>
      <c r="S47"/>
      <c r="T47"/>
    </row>
    <row r="48" spans="1:20" ht="15.6">
      <c r="B48" s="17" t="s">
        <v>98</v>
      </c>
      <c r="C48" s="251">
        <f t="shared" ref="C48:Q48" si="18">C19-C40</f>
        <v>0</v>
      </c>
      <c r="D48" s="251">
        <f t="shared" si="18"/>
        <v>0</v>
      </c>
      <c r="E48" s="251">
        <f t="shared" si="18"/>
        <v>0</v>
      </c>
      <c r="F48" s="251">
        <f t="shared" si="18"/>
        <v>0</v>
      </c>
      <c r="G48" s="251">
        <f t="shared" si="18"/>
        <v>0</v>
      </c>
      <c r="H48" s="251">
        <f t="shared" si="18"/>
        <v>0</v>
      </c>
      <c r="I48" s="251">
        <f t="shared" si="18"/>
        <v>-37.139152349115804</v>
      </c>
      <c r="J48" s="251">
        <f t="shared" si="18"/>
        <v>-10.266380849776738</v>
      </c>
      <c r="K48" s="251">
        <f t="shared" si="18"/>
        <v>5.9158172967567424</v>
      </c>
      <c r="L48" s="251">
        <f t="shared" si="18"/>
        <v>31.489508700000002</v>
      </c>
      <c r="M48" s="251">
        <f t="shared" si="18"/>
        <v>37.874357481000004</v>
      </c>
      <c r="N48" s="251">
        <f t="shared" si="18"/>
        <v>42.81429958335</v>
      </c>
      <c r="O48" s="251">
        <f t="shared" si="18"/>
        <v>29.790825401285026</v>
      </c>
      <c r="P48" s="251">
        <f t="shared" si="18"/>
        <v>33.699005331651264</v>
      </c>
      <c r="Q48" s="251">
        <f t="shared" si="18"/>
        <v>36.913877159111479</v>
      </c>
      <c r="R48"/>
      <c r="S48"/>
      <c r="T48"/>
    </row>
    <row r="49" spans="1:20" ht="15.6">
      <c r="A49" s="117"/>
      <c r="B49" s="118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/>
      <c r="S49"/>
      <c r="T49"/>
    </row>
    <row r="50" spans="1:20" ht="15.6">
      <c r="A50" s="120"/>
      <c r="B50" s="32" t="s">
        <v>186</v>
      </c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/>
      <c r="S50"/>
      <c r="T50"/>
    </row>
    <row r="51" spans="1:20" ht="15.6">
      <c r="A51" s="268"/>
      <c r="B51" s="268" t="str">
        <f>'Financial Statements'!B13</f>
        <v>COGS Margin %</v>
      </c>
      <c r="C51" s="271">
        <f>'Financial Statements'!C13</f>
        <v>0.5657834933026763</v>
      </c>
      <c r="D51" s="271">
        <f>'Financial Statements'!D13</f>
        <v>0.55179846423279</v>
      </c>
      <c r="E51" s="271">
        <f>'Financial Statements'!E13</f>
        <v>0.54016270605865979</v>
      </c>
      <c r="F51" s="271">
        <f>'Financial Statements'!F13</f>
        <v>0.56475389030985801</v>
      </c>
      <c r="G51" s="271">
        <f>'Financial Statements'!G13</f>
        <v>0.55439819321677508</v>
      </c>
      <c r="H51" s="271">
        <f>'Financial Statements'!H13</f>
        <v>0.57265326394437366</v>
      </c>
      <c r="I51" s="272">
        <f>AVERAGE(C51:H51)+0.02</f>
        <v>0.57825833517752223</v>
      </c>
      <c r="J51" s="272">
        <f>I51-0.005</f>
        <v>0.57325833517752223</v>
      </c>
      <c r="K51" s="272">
        <f t="shared" ref="K51:M51" si="19">J51-0.005</f>
        <v>0.56825833517752222</v>
      </c>
      <c r="L51" s="272">
        <f t="shared" si="19"/>
        <v>0.56325833517752222</v>
      </c>
      <c r="M51" s="272">
        <f t="shared" si="19"/>
        <v>0.55825833517752221</v>
      </c>
      <c r="N51" s="272">
        <f>M51</f>
        <v>0.55825833517752221</v>
      </c>
      <c r="O51" s="272">
        <f t="shared" ref="O51:Q51" si="20">N51</f>
        <v>0.55825833517752221</v>
      </c>
      <c r="P51" s="272">
        <f t="shared" si="20"/>
        <v>0.55825833517752221</v>
      </c>
      <c r="Q51" s="272">
        <f t="shared" si="20"/>
        <v>0.55825833517752221</v>
      </c>
      <c r="R51"/>
      <c r="S51"/>
      <c r="T51"/>
    </row>
    <row r="52" spans="1:20" ht="12.75" customHeight="1">
      <c r="A52" s="118"/>
      <c r="B52" s="40"/>
      <c r="C52" s="273"/>
      <c r="D52" s="273"/>
      <c r="E52" s="273"/>
      <c r="F52" s="273"/>
      <c r="G52" s="273"/>
      <c r="H52" s="273"/>
      <c r="I52" s="274"/>
      <c r="J52" s="274"/>
      <c r="K52" s="274"/>
      <c r="L52" s="274"/>
      <c r="M52" s="274"/>
      <c r="N52" s="274"/>
      <c r="O52" s="274"/>
      <c r="P52" s="274"/>
      <c r="Q52" s="274"/>
      <c r="R52"/>
      <c r="S52"/>
      <c r="T52"/>
    </row>
    <row r="53" spans="1:20" ht="12.75" customHeight="1">
      <c r="A53" s="277"/>
      <c r="B53" s="45" t="s">
        <v>187</v>
      </c>
      <c r="C53" s="278">
        <f>'Financial Statements'!C18/'Financial Statements'!C$10</f>
        <v>9.6035077400208543E-2</v>
      </c>
      <c r="D53" s="278">
        <f>'Financial Statements'!D18/'Financial Statements'!D$10</f>
        <v>6.9917822982621586E-2</v>
      </c>
      <c r="E53" s="278">
        <f>'Financial Statements'!E18/'Financial Statements'!E$10</f>
        <v>8.2423463926354093E-2</v>
      </c>
      <c r="F53" s="278">
        <f>'Financial Statements'!F18/'Financial Statements'!F$10</f>
        <v>7.9270554698635212E-2</v>
      </c>
      <c r="G53" s="278">
        <f>'Financial Statements'!G18/'Financial Statements'!G$10</f>
        <v>8.3427436626299603E-2</v>
      </c>
      <c r="H53" s="278">
        <f>'Financial Statements'!H18/'Financial Statements'!H$10</f>
        <v>0.10125461573344274</v>
      </c>
      <c r="I53" s="279">
        <f>AVERAGE(C53:H53)</f>
        <v>8.5388161894593625E-2</v>
      </c>
      <c r="J53" s="279">
        <f>I53</f>
        <v>8.5388161894593625E-2</v>
      </c>
      <c r="K53" s="279">
        <f t="shared" ref="K53" si="21">J53</f>
        <v>8.5388161894593625E-2</v>
      </c>
      <c r="L53" s="279">
        <f t="shared" ref="L53" si="22">K53</f>
        <v>8.5388161894593625E-2</v>
      </c>
      <c r="M53" s="279">
        <f t="shared" ref="M53" si="23">L53</f>
        <v>8.5388161894593625E-2</v>
      </c>
      <c r="N53" s="279">
        <f t="shared" ref="N53:N54" si="24">M53</f>
        <v>8.5388161894593625E-2</v>
      </c>
      <c r="O53" s="279">
        <f t="shared" ref="O53:O54" si="25">N53</f>
        <v>8.5388161894593625E-2</v>
      </c>
      <c r="P53" s="279">
        <f t="shared" ref="P53:P54" si="26">O53</f>
        <v>8.5388161894593625E-2</v>
      </c>
      <c r="Q53" s="279">
        <f t="shared" ref="Q53:Q54" si="27">P53</f>
        <v>8.5388161894593625E-2</v>
      </c>
      <c r="R53"/>
      <c r="S53"/>
      <c r="T53"/>
    </row>
    <row r="54" spans="1:20" ht="15.6">
      <c r="A54" s="277"/>
      <c r="B54" s="45" t="s">
        <v>188</v>
      </c>
      <c r="C54" s="278">
        <f>'Financial Statements'!C19/'Financial Statements'!C$10</f>
        <v>0.22498195331925247</v>
      </c>
      <c r="D54" s="278">
        <f>'Financial Statements'!D19/'Financial Statements'!D$10</f>
        <v>0.20463424491445506</v>
      </c>
      <c r="E54" s="278">
        <f>'Financial Statements'!E19/'Financial Statements'!E$10</f>
        <v>0.21652751016912866</v>
      </c>
      <c r="F54" s="278">
        <f>'Financial Statements'!F19/'Financial Statements'!F$10</f>
        <v>0.2267606458792979</v>
      </c>
      <c r="G54" s="278">
        <f>'Financial Statements'!G19/'Financial Statements'!G$10</f>
        <v>0.22380359020287371</v>
      </c>
      <c r="H54" s="278">
        <f>'Financial Statements'!H19/'Financial Statements'!H$10</f>
        <v>0.22941544840095879</v>
      </c>
      <c r="I54" s="279">
        <f>AVERAGE(C54:H54)+0.035</f>
        <v>0.25602056548099444</v>
      </c>
      <c r="J54" s="279">
        <f>I54-0.02</f>
        <v>0.23602056548099445</v>
      </c>
      <c r="K54" s="279">
        <f>J54</f>
        <v>0.23602056548099445</v>
      </c>
      <c r="L54" s="279">
        <f>K54-0.04</f>
        <v>0.19602056548099445</v>
      </c>
      <c r="M54" s="279">
        <f>L54</f>
        <v>0.19602056548099445</v>
      </c>
      <c r="N54" s="279">
        <f t="shared" si="24"/>
        <v>0.19602056548099445</v>
      </c>
      <c r="O54" s="279">
        <f t="shared" si="25"/>
        <v>0.19602056548099445</v>
      </c>
      <c r="P54" s="279">
        <f t="shared" si="26"/>
        <v>0.19602056548099445</v>
      </c>
      <c r="Q54" s="279">
        <f t="shared" si="27"/>
        <v>0.19602056548099445</v>
      </c>
      <c r="R54"/>
      <c r="S54"/>
      <c r="T54"/>
    </row>
    <row r="55" spans="1:20" customFormat="1" ht="15.6">
      <c r="A55" s="280"/>
      <c r="B55" s="280" t="s">
        <v>189</v>
      </c>
      <c r="C55" s="281">
        <f>'Financial Statements'!C20/'Financial Statements'!C10</f>
        <v>3.716279442825442E-3</v>
      </c>
      <c r="D55" s="281">
        <f>'Financial Statements'!D20/'Financial Statements'!D10</f>
        <v>3.1433831784094481E-4</v>
      </c>
      <c r="E55" s="281">
        <f>'Financial Statements'!E20/'Financial Statements'!E10</f>
        <v>-3.8749732391350888E-3</v>
      </c>
      <c r="F55" s="281">
        <f>'Financial Statements'!F20/'Financial Statements'!F10</f>
        <v>-5.4669348068024292E-3</v>
      </c>
      <c r="G55" s="281">
        <f>'Financial Statements'!G20/'Financial Statements'!G10</f>
        <v>-4.4390794750983221E-3</v>
      </c>
      <c r="H55" s="281">
        <f>'Financial Statements'!H20/'Financial Statements'!H10</f>
        <v>-1.6411496685309552E-3</v>
      </c>
      <c r="I55" s="282">
        <f>AVERAGE(B55:H55)</f>
        <v>-1.8985865714834013E-3</v>
      </c>
      <c r="J55" s="279">
        <f>I55</f>
        <v>-1.8985865714834013E-3</v>
      </c>
      <c r="K55" s="279">
        <f t="shared" ref="K55:Q55" si="28">J55</f>
        <v>-1.8985865714834013E-3</v>
      </c>
      <c r="L55" s="279">
        <f t="shared" si="28"/>
        <v>-1.8985865714834013E-3</v>
      </c>
      <c r="M55" s="279">
        <f t="shared" si="28"/>
        <v>-1.8985865714834013E-3</v>
      </c>
      <c r="N55" s="279">
        <f t="shared" si="28"/>
        <v>-1.8985865714834013E-3</v>
      </c>
      <c r="O55" s="279">
        <f t="shared" si="28"/>
        <v>-1.8985865714834013E-3</v>
      </c>
      <c r="P55" s="279">
        <f t="shared" si="28"/>
        <v>-1.8985865714834013E-3</v>
      </c>
      <c r="Q55" s="279">
        <f t="shared" si="28"/>
        <v>-1.8985865714834013E-3</v>
      </c>
    </row>
    <row r="56" spans="1:20" customFormat="1" ht="15.6">
      <c r="A56" s="17"/>
      <c r="B56" s="17"/>
      <c r="C56" s="275"/>
      <c r="D56" s="275"/>
      <c r="E56" s="275"/>
      <c r="F56" s="275"/>
      <c r="G56" s="275"/>
      <c r="H56" s="275"/>
      <c r="I56" s="276"/>
      <c r="J56" s="279"/>
      <c r="K56" s="279"/>
      <c r="L56" s="279"/>
      <c r="M56" s="279"/>
      <c r="N56" s="279"/>
      <c r="O56" s="279"/>
      <c r="P56" s="279"/>
      <c r="Q56" s="279"/>
    </row>
    <row r="57" spans="1:20" customFormat="1" ht="15.6">
      <c r="A57" s="280"/>
      <c r="B57" s="283" t="s">
        <v>190</v>
      </c>
      <c r="C57" s="281">
        <f>'Financial Statements'!C30/'Financial Statements'!C10</f>
        <v>2.37948827634147E-3</v>
      </c>
      <c r="D57" s="281">
        <f>'Financial Statements'!D30/'Financial Statements'!D10</f>
        <v>5.882617091023396E-3</v>
      </c>
      <c r="E57" s="281">
        <f>'Financial Statements'!E30/'Financial Statements'!E10</f>
        <v>4.3887818454292444E-3</v>
      </c>
      <c r="F57" s="281">
        <f>'Financial Statements'!F30/'Financial Statements'!F10</f>
        <v>-1.1714860300290919E-4</v>
      </c>
      <c r="G57" s="281">
        <f>'Financial Statements'!G30/'Financial Statements'!G10</f>
        <v>-3.1346131381176745E-3</v>
      </c>
      <c r="H57" s="281">
        <f>'Financial Statements'!H30/'Financial Statements'!H10</f>
        <v>-2.3105659806948974E-3</v>
      </c>
      <c r="I57" s="282">
        <f>AVERAGE(C57:H57)</f>
        <v>1.1814265818297718E-3</v>
      </c>
      <c r="J57" s="279">
        <f>I57</f>
        <v>1.1814265818297718E-3</v>
      </c>
      <c r="K57" s="279">
        <f t="shared" ref="K57:Q57" si="29">J57</f>
        <v>1.1814265818297718E-3</v>
      </c>
      <c r="L57" s="279">
        <f t="shared" si="29"/>
        <v>1.1814265818297718E-3</v>
      </c>
      <c r="M57" s="279">
        <f t="shared" si="29"/>
        <v>1.1814265818297718E-3</v>
      </c>
      <c r="N57" s="279">
        <f t="shared" si="29"/>
        <v>1.1814265818297718E-3</v>
      </c>
      <c r="O57" s="279">
        <f t="shared" si="29"/>
        <v>1.1814265818297718E-3</v>
      </c>
      <c r="P57" s="279">
        <f t="shared" si="29"/>
        <v>1.1814265818297718E-3</v>
      </c>
      <c r="Q57" s="279">
        <f t="shared" si="29"/>
        <v>1.1814265818297718E-3</v>
      </c>
    </row>
    <row r="58" spans="1:20" customFormat="1" ht="15.6">
      <c r="A58" s="280"/>
      <c r="B58" s="283"/>
      <c r="C58" s="281"/>
      <c r="D58" s="281"/>
      <c r="E58" s="281"/>
      <c r="F58" s="281"/>
      <c r="G58" s="281"/>
      <c r="H58" s="281"/>
      <c r="I58" s="282"/>
      <c r="J58" s="279"/>
      <c r="K58" s="279"/>
      <c r="L58" s="279"/>
      <c r="M58" s="279"/>
      <c r="N58" s="279"/>
      <c r="O58" s="279"/>
      <c r="P58" s="279"/>
      <c r="Q58" s="279"/>
    </row>
    <row r="59" spans="1:20" ht="15.6">
      <c r="A59" s="120"/>
      <c r="B59" s="32" t="s">
        <v>191</v>
      </c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/>
      <c r="S59"/>
      <c r="T59"/>
    </row>
    <row r="60" spans="1:20" ht="15.6">
      <c r="A60" s="118"/>
      <c r="B60" s="41" t="s">
        <v>192</v>
      </c>
      <c r="C60" s="286"/>
      <c r="D60" s="286">
        <f>C63</f>
        <v>4866</v>
      </c>
      <c r="E60" s="286">
        <f>D63</f>
        <v>4764</v>
      </c>
      <c r="F60" s="286">
        <f t="shared" ref="F60:Q60" si="30">E63</f>
        <v>4682</v>
      </c>
      <c r="G60" s="286">
        <f t="shared" si="30"/>
        <v>4948</v>
      </c>
      <c r="H60" s="286">
        <f t="shared" si="30"/>
        <v>4964</v>
      </c>
      <c r="I60" s="43">
        <f t="shared" si="30"/>
        <v>4619</v>
      </c>
      <c r="J60" s="43">
        <f t="shared" si="30"/>
        <v>4599.241309951216</v>
      </c>
      <c r="K60" s="43">
        <f t="shared" si="30"/>
        <v>4598.0815125511463</v>
      </c>
      <c r="L60" s="43">
        <f t="shared" si="30"/>
        <v>4632.7755839186475</v>
      </c>
      <c r="M60" s="43">
        <f t="shared" si="30"/>
        <v>4544.2644419352382</v>
      </c>
      <c r="N60" s="43">
        <f t="shared" si="30"/>
        <v>4491.0470653219363</v>
      </c>
      <c r="O60" s="43">
        <f t="shared" si="30"/>
        <v>4481.9517342014706</v>
      </c>
      <c r="P60" s="43">
        <f t="shared" si="30"/>
        <v>4510.1148232863852</v>
      </c>
      <c r="Q60" s="43">
        <f t="shared" si="30"/>
        <v>4567.9124047496562</v>
      </c>
      <c r="R60"/>
      <c r="S60"/>
      <c r="T60"/>
    </row>
    <row r="61" spans="1:20" ht="15.6">
      <c r="A61" s="118"/>
      <c r="B61" s="285" t="s">
        <v>193</v>
      </c>
      <c r="C61" s="286">
        <f>-'Financial Statements'!C107</f>
        <v>1086</v>
      </c>
      <c r="D61" s="286">
        <f>-'Financial Statements'!D107</f>
        <v>695</v>
      </c>
      <c r="E61" s="286">
        <f>-'Financial Statements'!E107</f>
        <v>758</v>
      </c>
      <c r="F61" s="286">
        <f>-'Financial Statements'!F107</f>
        <v>969</v>
      </c>
      <c r="G61" s="286">
        <f>-'Financial Statements'!G107</f>
        <v>812</v>
      </c>
      <c r="H61" s="286">
        <f>-'Financial Statements'!H107</f>
        <v>430</v>
      </c>
      <c r="I61" s="43">
        <f>I65*'Financial Statements'!I10</f>
        <v>818.36686062461115</v>
      </c>
      <c r="J61" s="43">
        <f>J65*'Financial Statements'!J10</f>
        <v>849.62702287267473</v>
      </c>
      <c r="K61" s="43">
        <f>K65*'Financial Statements'!K10</f>
        <v>893.23183249244516</v>
      </c>
      <c r="L61" s="43">
        <f>L65*'Financial Statements'!L10</f>
        <v>810.38592311053185</v>
      </c>
      <c r="M61" s="43">
        <f>M65*'Financial Statements'!M10</f>
        <v>858.64056653887212</v>
      </c>
      <c r="N61" s="43">
        <f>N65*'Financial Statements'!N10</f>
        <v>932.08766967588463</v>
      </c>
      <c r="O61" s="43">
        <f>O65*'Financial Statements'!O10</f>
        <v>992.64379262895193</v>
      </c>
      <c r="P61" s="43">
        <f>P65*'Financial Statements'!P10</f>
        <v>1055.5870293077655</v>
      </c>
      <c r="Q61" s="43">
        <f>Q65*'Financial Statements'!Q10</f>
        <v>1120.857616885995</v>
      </c>
      <c r="R61"/>
      <c r="S61"/>
      <c r="T61"/>
    </row>
    <row r="62" spans="1:20" ht="15.6">
      <c r="A62" s="118"/>
      <c r="B62" s="285" t="s">
        <v>194</v>
      </c>
      <c r="C62" s="286">
        <f>'Financial Statements'!C25</f>
        <v>1119</v>
      </c>
      <c r="D62" s="286">
        <f>'Financial Statements'!D25</f>
        <v>797</v>
      </c>
      <c r="E62" s="286">
        <f>'Financial Statements'!E25</f>
        <v>840</v>
      </c>
      <c r="F62" s="286">
        <f>'Financial Statements'!F25</f>
        <v>703</v>
      </c>
      <c r="G62" s="286">
        <f>'Financial Statements'!G25</f>
        <v>796</v>
      </c>
      <c r="H62" s="286">
        <f>'Financial Statements'!H25</f>
        <v>775</v>
      </c>
      <c r="I62" s="43">
        <f t="shared" ref="I62:Q62" si="31">I66*I60</f>
        <v>838.12555067339474</v>
      </c>
      <c r="J62" s="43">
        <f t="shared" si="31"/>
        <v>850.78682027274374</v>
      </c>
      <c r="K62" s="43">
        <f t="shared" si="31"/>
        <v>858.53776112494438</v>
      </c>
      <c r="L62" s="43">
        <f t="shared" si="31"/>
        <v>898.8970650939408</v>
      </c>
      <c r="M62" s="43">
        <f t="shared" si="31"/>
        <v>911.85794315217424</v>
      </c>
      <c r="N62" s="43">
        <f t="shared" si="31"/>
        <v>941.18300079634992</v>
      </c>
      <c r="O62" s="43">
        <f t="shared" si="31"/>
        <v>964.48070354403671</v>
      </c>
      <c r="P62" s="43">
        <f t="shared" si="31"/>
        <v>997.78944784449527</v>
      </c>
      <c r="Q62" s="43">
        <f t="shared" si="31"/>
        <v>1042.1105275801028</v>
      </c>
      <c r="R62"/>
      <c r="S62"/>
      <c r="T62"/>
    </row>
    <row r="63" spans="1:20" ht="15.6">
      <c r="A63" s="118"/>
      <c r="B63" s="294" t="s">
        <v>195</v>
      </c>
      <c r="C63" s="298">
        <f>'Financial Statements'!C53</f>
        <v>4866</v>
      </c>
      <c r="D63" s="298">
        <f>D60+D61-D62</f>
        <v>4764</v>
      </c>
      <c r="E63" s="298">
        <f t="shared" ref="E63:H63" si="32">E60+E61-E62</f>
        <v>4682</v>
      </c>
      <c r="F63" s="298">
        <f t="shared" si="32"/>
        <v>4948</v>
      </c>
      <c r="G63" s="298">
        <f t="shared" si="32"/>
        <v>4964</v>
      </c>
      <c r="H63" s="298">
        <f t="shared" si="32"/>
        <v>4619</v>
      </c>
      <c r="I63" s="295">
        <f t="shared" ref="I63" si="33">I60+I61-I62</f>
        <v>4599.241309951216</v>
      </c>
      <c r="J63" s="295">
        <f t="shared" ref="J63" si="34">J60+J61-J62</f>
        <v>4598.0815125511463</v>
      </c>
      <c r="K63" s="295">
        <f t="shared" ref="K63" si="35">K60+K61-K62</f>
        <v>4632.7755839186475</v>
      </c>
      <c r="L63" s="295">
        <f t="shared" ref="L63" si="36">L60+L61-L62</f>
        <v>4544.2644419352382</v>
      </c>
      <c r="M63" s="295">
        <f t="shared" ref="M63" si="37">M60+M61-M62</f>
        <v>4491.0470653219363</v>
      </c>
      <c r="N63" s="295">
        <f t="shared" ref="N63" si="38">N60+N61-N62</f>
        <v>4481.9517342014706</v>
      </c>
      <c r="O63" s="295">
        <f t="shared" ref="O63" si="39">O60+O61-O62</f>
        <v>4510.1148232863852</v>
      </c>
      <c r="P63" s="295">
        <f t="shared" ref="P63" si="40">P60+P61-P62</f>
        <v>4567.9124047496562</v>
      </c>
      <c r="Q63" s="295">
        <f t="shared" ref="Q63" si="41">Q60+Q61-Q62</f>
        <v>4646.6594940555487</v>
      </c>
      <c r="R63"/>
      <c r="S63"/>
      <c r="T63"/>
    </row>
    <row r="64" spans="1:20" ht="15.6">
      <c r="A64" s="118"/>
      <c r="B64" s="285"/>
      <c r="C64" s="286"/>
      <c r="D64" s="286"/>
      <c r="E64" s="286"/>
      <c r="F64" s="286"/>
      <c r="G64" s="286"/>
      <c r="H64" s="286"/>
      <c r="I64" s="299"/>
      <c r="J64" s="299"/>
      <c r="K64" s="299"/>
      <c r="L64" s="299"/>
      <c r="M64" s="299"/>
      <c r="N64" s="299"/>
      <c r="O64" s="299"/>
      <c r="P64" s="299"/>
      <c r="Q64" s="299"/>
      <c r="R64"/>
      <c r="S64"/>
      <c r="T64"/>
    </row>
    <row r="65" spans="1:20" ht="15.6">
      <c r="A65" s="277"/>
      <c r="B65" s="45" t="s">
        <v>197</v>
      </c>
      <c r="C65" s="278">
        <f>C61/'Financial Statements'!C10</f>
        <v>2.9035104136031869E-2</v>
      </c>
      <c r="D65" s="278">
        <f>D61/'Financial Statements'!D10</f>
        <v>1.5604652207104046E-2</v>
      </c>
      <c r="E65" s="278">
        <f>E61/'Financial Statements'!E10</f>
        <v>1.6227788482123744E-2</v>
      </c>
      <c r="F65" s="278">
        <f>F61/'Financial Statements'!F10</f>
        <v>1.8919499384969833E-2</v>
      </c>
      <c r="G65" s="278">
        <f>G61/'Financial Statements'!G10</f>
        <v>1.5809353218332621E-2</v>
      </c>
      <c r="H65" s="278">
        <f>H61/'Financial Statements'!H10</f>
        <v>9.2854520719514565E-3</v>
      </c>
      <c r="I65" s="279">
        <f>AVERAGE(C65:H65)</f>
        <v>1.7480308250085595E-2</v>
      </c>
      <c r="J65" s="279">
        <f>I65</f>
        <v>1.7480308250085595E-2</v>
      </c>
      <c r="K65" s="279">
        <f t="shared" ref="K65:Q65" si="42">J65</f>
        <v>1.7480308250085595E-2</v>
      </c>
      <c r="L65" s="279">
        <f>K65-0.0025</f>
        <v>1.4980308250085594E-2</v>
      </c>
      <c r="M65" s="279">
        <f t="shared" si="42"/>
        <v>1.4980308250085594E-2</v>
      </c>
      <c r="N65" s="279">
        <f t="shared" si="42"/>
        <v>1.4980308250085594E-2</v>
      </c>
      <c r="O65" s="279">
        <f t="shared" si="42"/>
        <v>1.4980308250085594E-2</v>
      </c>
      <c r="P65" s="279">
        <f t="shared" si="42"/>
        <v>1.4980308250085594E-2</v>
      </c>
      <c r="Q65" s="279">
        <f t="shared" si="42"/>
        <v>1.4980308250085594E-2</v>
      </c>
      <c r="R65"/>
      <c r="S65"/>
      <c r="T65"/>
    </row>
    <row r="66" spans="1:20" ht="12.75" customHeight="1">
      <c r="A66" s="277"/>
      <c r="B66" s="45" t="s">
        <v>198</v>
      </c>
      <c r="C66" s="278"/>
      <c r="D66" s="278">
        <f>D62/D60</f>
        <v>0.1637895602137279</v>
      </c>
      <c r="E66" s="278">
        <f>E62/E60</f>
        <v>0.17632241813602015</v>
      </c>
      <c r="F66" s="278">
        <f>F62/F60</f>
        <v>0.15014950875694147</v>
      </c>
      <c r="G66" s="278">
        <f>G62/G60</f>
        <v>0.1608730800323363</v>
      </c>
      <c r="H66" s="278">
        <f>H62/H60</f>
        <v>0.15612409347300565</v>
      </c>
      <c r="I66" s="279">
        <f>AVERAGE(D66:H66)+0.02</f>
        <v>0.18145173212240631</v>
      </c>
      <c r="J66" s="279">
        <f>AVERAGE(E66:I66)+0.02</f>
        <v>0.18498416650414196</v>
      </c>
      <c r="K66" s="279">
        <f t="shared" ref="K66:Q66" si="43">AVERAGE(F66:J66)+0.02</f>
        <v>0.18671651617776633</v>
      </c>
      <c r="L66" s="279">
        <f t="shared" si="43"/>
        <v>0.19402991766193128</v>
      </c>
      <c r="M66" s="279">
        <f t="shared" si="43"/>
        <v>0.20066128518785031</v>
      </c>
      <c r="N66" s="279">
        <f t="shared" si="43"/>
        <v>0.20956872353081923</v>
      </c>
      <c r="O66" s="279">
        <f t="shared" si="43"/>
        <v>0.21519212181250183</v>
      </c>
      <c r="P66" s="279">
        <f t="shared" si="43"/>
        <v>0.22123371287417382</v>
      </c>
      <c r="Q66" s="279">
        <f t="shared" si="43"/>
        <v>0.22813715221345526</v>
      </c>
      <c r="R66"/>
      <c r="S66"/>
      <c r="T66"/>
    </row>
    <row r="67" spans="1:20" ht="12.75" customHeight="1">
      <c r="A67" s="118"/>
      <c r="B67" s="53"/>
      <c r="C67" s="42"/>
      <c r="D67" s="42"/>
      <c r="E67" s="42"/>
      <c r="F67" s="42"/>
      <c r="G67" s="42"/>
      <c r="H67" s="243"/>
      <c r="I67" s="288"/>
      <c r="J67" s="288"/>
      <c r="K67" s="288"/>
      <c r="L67" s="288"/>
      <c r="M67" s="288"/>
      <c r="N67" s="288"/>
      <c r="O67" s="288"/>
      <c r="P67" s="288"/>
      <c r="Q67" s="288"/>
      <c r="R67"/>
      <c r="S67"/>
      <c r="T67"/>
    </row>
    <row r="68" spans="1:20" ht="12.75" customHeight="1">
      <c r="A68" s="120"/>
      <c r="B68" s="32" t="s">
        <v>199</v>
      </c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/>
      <c r="S68"/>
      <c r="T68"/>
    </row>
    <row r="69" spans="1:20" ht="15.6">
      <c r="A69" s="280"/>
      <c r="B69" s="284" t="s">
        <v>200</v>
      </c>
      <c r="C69" s="281">
        <f>'Financial Statements'!C35/'Financial Statements'!C33</f>
        <v>0.12054035330793211</v>
      </c>
      <c r="D69" s="281">
        <f>'Financial Statements'!D35/'Financial Statements'!D33</f>
        <v>0.14021918630836211</v>
      </c>
      <c r="E69" s="281">
        <f>'Financial Statements'!E35/'Financial Statements'!E33</f>
        <v>9.0963764847391368E-2</v>
      </c>
      <c r="F69" s="281">
        <f>'Financial Statements'!F35/'Financial Statements'!F33</f>
        <v>0.18238993710691823</v>
      </c>
      <c r="G69" s="281">
        <f>'Financial Statements'!G35/'Financial Statements'!G33</f>
        <v>0.14925373134328357</v>
      </c>
      <c r="H69" s="281">
        <f>'Financial Statements'!H35/'Financial Statements'!H33</f>
        <v>0.17142857142857143</v>
      </c>
      <c r="I69" s="282">
        <f>taxrate</f>
        <v>0.18129999999999999</v>
      </c>
      <c r="J69" s="279">
        <f>I69</f>
        <v>0.18129999999999999</v>
      </c>
      <c r="K69" s="279">
        <f t="shared" ref="K69:Q69" si="44">J69</f>
        <v>0.18129999999999999</v>
      </c>
      <c r="L69" s="279">
        <f t="shared" si="44"/>
        <v>0.18129999999999999</v>
      </c>
      <c r="M69" s="279">
        <f t="shared" si="44"/>
        <v>0.18129999999999999</v>
      </c>
      <c r="N69" s="279">
        <f t="shared" si="44"/>
        <v>0.18129999999999999</v>
      </c>
      <c r="O69" s="279">
        <f t="shared" si="44"/>
        <v>0.18129999999999999</v>
      </c>
      <c r="P69" s="279">
        <f t="shared" si="44"/>
        <v>0.18129999999999999</v>
      </c>
      <c r="Q69" s="279">
        <f t="shared" si="44"/>
        <v>0.18129999999999999</v>
      </c>
      <c r="R69"/>
      <c r="S69"/>
      <c r="T69"/>
    </row>
    <row r="70" spans="1:20" ht="12.75" customHeight="1">
      <c r="A70"/>
      <c r="B70"/>
      <c r="C70"/>
      <c r="D70"/>
      <c r="E70"/>
      <c r="F70"/>
      <c r="G70"/>
      <c r="H70"/>
      <c r="I70" s="297"/>
      <c r="J70" s="297"/>
      <c r="K70" s="297"/>
      <c r="L70" s="297"/>
      <c r="M70" s="297"/>
      <c r="N70" s="297"/>
      <c r="O70" s="297"/>
      <c r="P70" s="297"/>
      <c r="Q70" s="297"/>
      <c r="R70"/>
      <c r="S70"/>
      <c r="T70"/>
    </row>
    <row r="71" spans="1:20" ht="12.75" customHeight="1">
      <c r="A71" s="120"/>
      <c r="B71" s="32" t="s">
        <v>201</v>
      </c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/>
      <c r="S71"/>
      <c r="T71"/>
    </row>
    <row r="72" spans="1:20" ht="12.75" customHeight="1">
      <c r="A72" s="280"/>
      <c r="B72" s="283" t="s">
        <v>202</v>
      </c>
      <c r="C72" s="281">
        <f>'Financial Statements'!C46/'Financial Statements'!C$10</f>
        <v>1.1737026441729272E-2</v>
      </c>
      <c r="D72" s="281">
        <f>'Financial Statements'!D46/'Financial Statements'!D$10</f>
        <v>8.0537967578247785E-2</v>
      </c>
      <c r="E72" s="281">
        <f>'Financial Statements'!E46/'Financial Statements'!E$10</f>
        <v>9.4690644401627055E-2</v>
      </c>
      <c r="F72" s="281">
        <f>'Financial Statements'!F46/'Financial Statements'!F$10</f>
        <v>6.3143097018568059E-2</v>
      </c>
      <c r="G72" s="281">
        <f>'Financial Statements'!G46/'Financial Statements'!G$10</f>
        <v>3.3526731825084692E-2</v>
      </c>
      <c r="H72" s="281">
        <f>'Financial Statements'!H46/'Financial Statements'!H$10</f>
        <v>3.6429203826470018E-2</v>
      </c>
      <c r="I72" s="282">
        <f>AVERAGE(C72:H72)-0.02</f>
        <v>3.3344111848621155E-2</v>
      </c>
      <c r="J72" s="279">
        <f>I72</f>
        <v>3.3344111848621155E-2</v>
      </c>
      <c r="K72" s="279">
        <f t="shared" ref="K72:Q72" si="45">J72</f>
        <v>3.3344111848621155E-2</v>
      </c>
      <c r="L72" s="279">
        <f t="shared" si="45"/>
        <v>3.3344111848621155E-2</v>
      </c>
      <c r="M72" s="279">
        <f t="shared" si="45"/>
        <v>3.3344111848621155E-2</v>
      </c>
      <c r="N72" s="279">
        <f t="shared" si="45"/>
        <v>3.3344111848621155E-2</v>
      </c>
      <c r="O72" s="279">
        <f t="shared" si="45"/>
        <v>3.3344111848621155E-2</v>
      </c>
      <c r="P72" s="279">
        <f t="shared" si="45"/>
        <v>3.3344111848621155E-2</v>
      </c>
      <c r="Q72" s="279">
        <f t="shared" si="45"/>
        <v>3.3344111848621155E-2</v>
      </c>
      <c r="R72"/>
      <c r="S72"/>
      <c r="T72"/>
    </row>
    <row r="73" spans="1:20" ht="12.75" customHeight="1">
      <c r="A73"/>
      <c r="B73" s="17" t="s">
        <v>203</v>
      </c>
      <c r="C73" s="291">
        <f>'Financial Statements'!C10/'Financial Statements'!C47</f>
        <v>13.606038559476174</v>
      </c>
      <c r="D73" s="291">
        <f>'Financial Statements'!D10/'Financial Statements'!D47</f>
        <v>9.9793860631861975</v>
      </c>
      <c r="E73" s="291">
        <f>'Financial Statements'!E10/'Financial Statements'!E47</f>
        <v>10.008570816370259</v>
      </c>
      <c r="F73" s="291">
        <f>'Financial Statements'!F10/'Financial Statements'!F47</f>
        <v>12.398208666182523</v>
      </c>
      <c r="G73" s="291">
        <f>'Financial Statements'!G10/'Financial Statements'!G47</f>
        <v>11.601987802123334</v>
      </c>
      <c r="H73" s="291">
        <f>'Financial Statements'!H10/'Financial Statements'!H47</f>
        <v>9.8174687301250803</v>
      </c>
      <c r="I73" s="292">
        <f>AVERAGE(C73:H73)</f>
        <v>11.235276772910595</v>
      </c>
      <c r="J73" s="292">
        <f>I73</f>
        <v>11.235276772910595</v>
      </c>
      <c r="K73" s="292">
        <f t="shared" ref="K73:Q73" si="46">J73</f>
        <v>11.235276772910595</v>
      </c>
      <c r="L73" s="292">
        <f t="shared" si="46"/>
        <v>11.235276772910595</v>
      </c>
      <c r="M73" s="292">
        <f t="shared" si="46"/>
        <v>11.235276772910595</v>
      </c>
      <c r="N73" s="292">
        <f t="shared" si="46"/>
        <v>11.235276772910595</v>
      </c>
      <c r="O73" s="292">
        <f t="shared" si="46"/>
        <v>11.235276772910595</v>
      </c>
      <c r="P73" s="292">
        <f t="shared" si="46"/>
        <v>11.235276772910595</v>
      </c>
      <c r="Q73" s="292">
        <f t="shared" si="46"/>
        <v>11.235276772910595</v>
      </c>
      <c r="R73"/>
      <c r="S73"/>
      <c r="T73"/>
    </row>
    <row r="74" spans="1:20" ht="15.6">
      <c r="A74"/>
      <c r="B74" s="17" t="s">
        <v>204</v>
      </c>
      <c r="C74" s="291">
        <f>'Financial Statements'!C12/'Financial Statements'!C48</f>
        <v>2.8725397040857881</v>
      </c>
      <c r="D74" s="291">
        <f>'Financial Statements'!D12/'Financial Statements'!D48</f>
        <v>3.5856434199007881</v>
      </c>
      <c r="E74" s="291">
        <f>'Financial Statements'!E12/'Financial Statements'!E48</f>
        <v>2.9965558194774347</v>
      </c>
      <c r="F74" s="291">
        <f>'Financial Statements'!F12/'Financial Statements'!F48</f>
        <v>3.4214572983203215</v>
      </c>
      <c r="G74" s="291">
        <f>'Financial Statements'!G12/'Financial Statements'!G48</f>
        <v>3.7870727490357758</v>
      </c>
      <c r="H74" s="291">
        <f>'Financial Statements'!H12/'Financial Statements'!H48</f>
        <v>3.5410602216584324</v>
      </c>
      <c r="I74" s="292">
        <f>AVERAGE(C74:H74)</f>
        <v>3.367388202079757</v>
      </c>
      <c r="J74" s="292">
        <f>I74</f>
        <v>3.367388202079757</v>
      </c>
      <c r="K74" s="292">
        <f t="shared" ref="K74:Q75" si="47">J74</f>
        <v>3.367388202079757</v>
      </c>
      <c r="L74" s="292">
        <f t="shared" si="47"/>
        <v>3.367388202079757</v>
      </c>
      <c r="M74" s="292">
        <f t="shared" si="47"/>
        <v>3.367388202079757</v>
      </c>
      <c r="N74" s="292">
        <f t="shared" si="47"/>
        <v>3.367388202079757</v>
      </c>
      <c r="O74" s="292">
        <f t="shared" si="47"/>
        <v>3.367388202079757</v>
      </c>
      <c r="P74" s="292">
        <f t="shared" si="47"/>
        <v>3.367388202079757</v>
      </c>
      <c r="Q74" s="292">
        <f t="shared" si="47"/>
        <v>3.367388202079757</v>
      </c>
      <c r="R74"/>
      <c r="S74"/>
      <c r="T74"/>
    </row>
    <row r="75" spans="1:20" ht="12.75" customHeight="1">
      <c r="A75" s="280"/>
      <c r="B75" s="283" t="s">
        <v>205</v>
      </c>
      <c r="C75" s="281">
        <f>'Financial Statements'!C49/'Financial Statements'!C$10</f>
        <v>4.4194315963960111E-2</v>
      </c>
      <c r="D75" s="281">
        <f>'Financial Statements'!D49/'Financial Statements'!D$10</f>
        <v>3.3634200008981097E-2</v>
      </c>
      <c r="E75" s="281">
        <f>'Financial Statements'!E49/'Financial Statements'!E$10</f>
        <v>4.5579105116677371E-2</v>
      </c>
      <c r="F75" s="281">
        <f>'Financial Statements'!F49/'Financial Statements'!F$10</f>
        <v>3.7917097838608277E-2</v>
      </c>
      <c r="G75" s="281">
        <f>'Financial Statements'!G49/'Financial Statements'!G$10</f>
        <v>3.6096725205404773E-2</v>
      </c>
      <c r="H75" s="281">
        <f>'Financial Statements'!H49/'Financial Statements'!H$10</f>
        <v>4.329611954479691E-2</v>
      </c>
      <c r="I75" s="282">
        <f>AVERAGE(C75:H75)</f>
        <v>4.0119593946404762E-2</v>
      </c>
      <c r="J75" s="279">
        <f>I75</f>
        <v>4.0119593946404762E-2</v>
      </c>
      <c r="K75" s="279">
        <f t="shared" si="47"/>
        <v>4.0119593946404762E-2</v>
      </c>
      <c r="L75" s="279">
        <f t="shared" si="47"/>
        <v>4.0119593946404762E-2</v>
      </c>
      <c r="M75" s="279">
        <f t="shared" si="47"/>
        <v>4.0119593946404762E-2</v>
      </c>
      <c r="N75" s="279">
        <f t="shared" si="47"/>
        <v>4.0119593946404762E-2</v>
      </c>
      <c r="O75" s="279">
        <f t="shared" si="47"/>
        <v>4.0119593946404762E-2</v>
      </c>
      <c r="P75" s="279">
        <f t="shared" si="47"/>
        <v>4.0119593946404762E-2</v>
      </c>
      <c r="Q75" s="279">
        <f t="shared" si="47"/>
        <v>4.0119593946404762E-2</v>
      </c>
      <c r="R75"/>
      <c r="S75"/>
      <c r="T75"/>
    </row>
    <row r="76" spans="1:20" ht="12.75" customHeight="1">
      <c r="A76"/>
      <c r="B76" s="17" t="s">
        <v>73</v>
      </c>
      <c r="I76" s="270"/>
      <c r="J76" s="270"/>
      <c r="K76" s="270"/>
      <c r="L76" s="270"/>
      <c r="M76" s="270"/>
      <c r="N76" s="270"/>
      <c r="O76" s="270"/>
      <c r="P76" s="270"/>
      <c r="Q76" s="270"/>
      <c r="R76"/>
      <c r="S76"/>
      <c r="T76"/>
    </row>
    <row r="77" spans="1:20" ht="12.75" customHeight="1">
      <c r="A77" s="280"/>
      <c r="B77" s="283" t="s">
        <v>206</v>
      </c>
      <c r="C77" s="281">
        <f>'Financial Statements'!C66/'Financial Statements'!C$10</f>
        <v>6.6304841857605006E-3</v>
      </c>
      <c r="D77" s="281">
        <f>'Financial Statements'!D66/'Financial Statements'!D$10</f>
        <v>4.4905473977277827E-5</v>
      </c>
      <c r="E77" s="281">
        <f>'Financial Statements'!E66/'Financial Statements'!E$10</f>
        <v>2.1408691928923143E-4</v>
      </c>
      <c r="F77" s="281">
        <f>'Financial Statements'!F66/'Financial Statements'!F$10</f>
        <v>1.1714860300290919E-4</v>
      </c>
      <c r="G77" s="281">
        <f>'Financial Statements'!G66/'Financial Statements'!G$10</f>
        <v>1.1681788092364004E-4</v>
      </c>
      <c r="H77" s="281">
        <f>'Financial Statements'!H66/'Financial Statements'!H$10</f>
        <v>1.079703729296681E-4</v>
      </c>
      <c r="I77" s="282">
        <f>AVERAGE(D77:H77)</f>
        <v>1.2018585002454533E-4</v>
      </c>
      <c r="J77" s="279">
        <f>I77</f>
        <v>1.2018585002454533E-4</v>
      </c>
      <c r="K77" s="279">
        <f t="shared" ref="K77:Q77" si="48">J77</f>
        <v>1.2018585002454533E-4</v>
      </c>
      <c r="L77" s="279">
        <f t="shared" si="48"/>
        <v>1.2018585002454533E-4</v>
      </c>
      <c r="M77" s="279">
        <f t="shared" si="48"/>
        <v>1.2018585002454533E-4</v>
      </c>
      <c r="N77" s="279">
        <f t="shared" si="48"/>
        <v>1.2018585002454533E-4</v>
      </c>
      <c r="O77" s="279">
        <f t="shared" si="48"/>
        <v>1.2018585002454533E-4</v>
      </c>
      <c r="P77" s="279">
        <f t="shared" si="48"/>
        <v>1.2018585002454533E-4</v>
      </c>
      <c r="Q77" s="279">
        <f t="shared" si="48"/>
        <v>1.2018585002454533E-4</v>
      </c>
      <c r="R77"/>
      <c r="S77"/>
      <c r="T77"/>
    </row>
    <row r="78" spans="1:20" ht="15.6">
      <c r="A78"/>
      <c r="B78" s="17" t="s">
        <v>207</v>
      </c>
      <c r="C78" s="291">
        <f>'Financial Statements'!C10/'Financial Statements'!C67</f>
        <v>16.638345195729539</v>
      </c>
      <c r="D78" s="291">
        <f>'Financial Statements'!D10/'Financial Statements'!D67</f>
        <v>15.704513399153738</v>
      </c>
      <c r="E78" s="291">
        <f>'Financial Statements'!E10/'Financial Statements'!E67</f>
        <v>13.910065515187611</v>
      </c>
      <c r="F78" s="291">
        <f>'Financial Statements'!F10/'Financial Statements'!F67</f>
        <v>17.895527603074772</v>
      </c>
      <c r="G78" s="291">
        <f>'Financial Statements'!G10/'Financial Statements'!G67</f>
        <v>18.01543318133988</v>
      </c>
      <c r="H78" s="291">
        <f>'Financial Statements'!H10/'Financial Statements'!H67</f>
        <v>13.311008910606496</v>
      </c>
      <c r="I78" s="292">
        <f>AVERAGE(C78:H78)-4</f>
        <v>11.912482300848671</v>
      </c>
      <c r="J78" s="292">
        <f>I78+1</f>
        <v>12.912482300848671</v>
      </c>
      <c r="K78" s="292">
        <f t="shared" ref="K78:Q78" si="49">J78+1</f>
        <v>13.912482300848671</v>
      </c>
      <c r="L78" s="292">
        <f t="shared" si="49"/>
        <v>14.912482300848671</v>
      </c>
      <c r="M78" s="292">
        <f t="shared" si="49"/>
        <v>15.912482300848671</v>
      </c>
      <c r="N78" s="292">
        <f t="shared" si="49"/>
        <v>16.912482300848673</v>
      </c>
      <c r="O78" s="292">
        <f t="shared" si="49"/>
        <v>17.912482300848673</v>
      </c>
      <c r="P78" s="292">
        <f t="shared" si="49"/>
        <v>18.912482300848673</v>
      </c>
      <c r="Q78" s="292">
        <f t="shared" si="49"/>
        <v>19.912482300848673</v>
      </c>
      <c r="R78"/>
      <c r="S78"/>
      <c r="T78"/>
    </row>
    <row r="79" spans="1:20" ht="12.75" customHeight="1">
      <c r="A79" s="280"/>
      <c r="B79" s="283" t="s">
        <v>208</v>
      </c>
      <c r="C79" s="281">
        <f>'Financial Statements'!C68/'Financial Statements'!C$10</f>
        <v>1.189744138170735E-2</v>
      </c>
      <c r="D79" s="281">
        <f>'Financial Statements'!D68/'Financial Statements'!D$10</f>
        <v>1.0485428173694373E-2</v>
      </c>
      <c r="E79" s="281">
        <f>'Financial Statements'!E68/'Financial Statements'!E$10</f>
        <v>8.9916506101477191E-3</v>
      </c>
      <c r="F79" s="281">
        <f>'Financial Statements'!F68/'Financial Statements'!F$10</f>
        <v>8.2980260460394015E-3</v>
      </c>
      <c r="G79" s="281">
        <f>'Financial Statements'!G68/'Financial Statements'!G$10</f>
        <v>9.2870215334293835E-3</v>
      </c>
      <c r="H79" s="281">
        <f>'Financial Statements'!H68/'Financial Statements'!H$10</f>
        <v>1.0840225442138677E-2</v>
      </c>
      <c r="I79" s="282">
        <f>AVERAGE(C79:H79)+0.005</f>
        <v>1.4966632197859483E-2</v>
      </c>
      <c r="J79" s="279">
        <f>I79-0.0005</f>
        <v>1.4466632197859482E-2</v>
      </c>
      <c r="K79" s="279">
        <f t="shared" ref="K79:Q79" si="50">J79-0.0005</f>
        <v>1.3966632197859482E-2</v>
      </c>
      <c r="L79" s="279">
        <f t="shared" si="50"/>
        <v>1.3466632197859481E-2</v>
      </c>
      <c r="M79" s="279">
        <f t="shared" si="50"/>
        <v>1.2966632197859481E-2</v>
      </c>
      <c r="N79" s="279">
        <f t="shared" si="50"/>
        <v>1.2466632197859481E-2</v>
      </c>
      <c r="O79" s="279">
        <f t="shared" si="50"/>
        <v>1.196663219785948E-2</v>
      </c>
      <c r="P79" s="279">
        <f t="shared" si="50"/>
        <v>1.146663219785948E-2</v>
      </c>
      <c r="Q79" s="279">
        <f t="shared" si="50"/>
        <v>1.0966632197859479E-2</v>
      </c>
      <c r="R79"/>
      <c r="S79"/>
      <c r="T79"/>
    </row>
    <row r="80" spans="1:20" ht="12.75" customHeight="1">
      <c r="A80" s="280"/>
      <c r="B80" s="283" t="s">
        <v>209</v>
      </c>
      <c r="C80" s="281">
        <f>'Financial Statements'!C69/'Financial Statements'!C$10</f>
        <v>0.1385985081410582</v>
      </c>
      <c r="D80" s="281">
        <f>'Financial Statements'!D69/'Financial Statements'!D$10</f>
        <v>0.13613094436211773</v>
      </c>
      <c r="E80" s="281">
        <f>'Financial Statements'!E69/'Financial Statements'!E$10</f>
        <v>0.13316206379790194</v>
      </c>
      <c r="F80" s="281">
        <f>'Financial Statements'!F69/'Financial Statements'!F$10</f>
        <v>0.11174024249760822</v>
      </c>
      <c r="G80" s="281">
        <f>'Financial Statements'!G69/'Financial Statements'!G$10</f>
        <v>0.11146372804797321</v>
      </c>
      <c r="H80" s="281">
        <f>'Financial Statements'!H69/'Financial Statements'!H$10</f>
        <v>0.12764257487745362</v>
      </c>
      <c r="I80" s="282">
        <f t="shared" ref="I80" si="51">AVERAGE(C80:H80)</f>
        <v>0.12645634362068547</v>
      </c>
      <c r="J80" s="279">
        <f t="shared" ref="J80:Q80" si="52">I80</f>
        <v>0.12645634362068547</v>
      </c>
      <c r="K80" s="279">
        <f t="shared" si="52"/>
        <v>0.12645634362068547</v>
      </c>
      <c r="L80" s="279">
        <f t="shared" si="52"/>
        <v>0.12645634362068547</v>
      </c>
      <c r="M80" s="279">
        <f t="shared" si="52"/>
        <v>0.12645634362068547</v>
      </c>
      <c r="N80" s="279">
        <f t="shared" si="52"/>
        <v>0.12645634362068547</v>
      </c>
      <c r="O80" s="279">
        <f t="shared" si="52"/>
        <v>0.12645634362068547</v>
      </c>
      <c r="P80" s="279">
        <f t="shared" si="52"/>
        <v>0.12645634362068547</v>
      </c>
      <c r="Q80" s="279">
        <f t="shared" si="52"/>
        <v>0.12645634362068547</v>
      </c>
      <c r="R80"/>
      <c r="S80"/>
      <c r="T80"/>
    </row>
    <row r="81" spans="1:20" ht="12.75" customHeight="1">
      <c r="A81" s="280"/>
      <c r="B81" s="283" t="s">
        <v>210</v>
      </c>
      <c r="C81" s="281">
        <f>'Financial Statements'!C70/'Financial Statements'!C$10</f>
        <v>4.1707884394299923E-3</v>
      </c>
      <c r="D81" s="281">
        <f>'Financial Statements'!D70/'Financial Statements'!D$10</f>
        <v>6.8705375185235083E-3</v>
      </c>
      <c r="E81" s="281">
        <f>'Financial Statements'!E70/'Financial Statements'!E$10</f>
        <v>4.7527296082209378E-3</v>
      </c>
      <c r="F81" s="281">
        <f>'Financial Statements'!F70/'Financial Statements'!F$10</f>
        <v>4.6859441201163674E-3</v>
      </c>
      <c r="G81" s="281">
        <f>'Financial Statements'!G70/'Financial Statements'!G$10</f>
        <v>1.0396791402203964E-2</v>
      </c>
      <c r="H81" s="281">
        <f>'Financial Statements'!H70/'Financial Statements'!H$10</f>
        <v>1.4446435897989591E-2</v>
      </c>
      <c r="I81" s="282">
        <f>AVERAGE(C81:H81)+0.01</f>
        <v>1.7553871164414061E-2</v>
      </c>
      <c r="J81" s="279">
        <f>I81-0.001</f>
        <v>1.655387116441406E-2</v>
      </c>
      <c r="K81" s="279">
        <f t="shared" ref="K81:Q81" si="53">J81-0.001</f>
        <v>1.5553871164414059E-2</v>
      </c>
      <c r="L81" s="279">
        <f t="shared" si="53"/>
        <v>1.4553871164414058E-2</v>
      </c>
      <c r="M81" s="279">
        <f t="shared" si="53"/>
        <v>1.3553871164414057E-2</v>
      </c>
      <c r="N81" s="279">
        <f t="shared" si="53"/>
        <v>1.2553871164414056E-2</v>
      </c>
      <c r="O81" s="279">
        <f t="shared" si="53"/>
        <v>1.1553871164414056E-2</v>
      </c>
      <c r="P81" s="279">
        <f t="shared" si="53"/>
        <v>1.0553871164414055E-2</v>
      </c>
      <c r="Q81" s="279">
        <f t="shared" si="53"/>
        <v>9.5538711644140538E-3</v>
      </c>
      <c r="R81"/>
      <c r="S81"/>
      <c r="T81"/>
    </row>
    <row r="82" spans="1:20" ht="12.75" customHeight="1">
      <c r="A82"/>
      <c r="I82" s="270"/>
      <c r="J82" s="270"/>
      <c r="K82" s="270"/>
      <c r="L82" s="270"/>
      <c r="M82" s="270"/>
      <c r="N82" s="270"/>
      <c r="O82" s="270"/>
      <c r="P82" s="270"/>
      <c r="Q82" s="270"/>
      <c r="R82"/>
      <c r="S82"/>
      <c r="T82"/>
    </row>
    <row r="83" spans="1:20" ht="15.6">
      <c r="A83" s="120"/>
      <c r="B83" s="32" t="s">
        <v>130</v>
      </c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/>
      <c r="S83"/>
      <c r="T83"/>
    </row>
    <row r="84" spans="1:20" ht="12.75" customHeight="1">
      <c r="A84" s="118"/>
      <c r="B84" s="293" t="s">
        <v>211</v>
      </c>
      <c r="C84" s="281">
        <f>'Financial Statements'!C54/'Financial Statements'!C$10</f>
        <v>8.2800844852017219E-2</v>
      </c>
      <c r="D84" s="281">
        <f>'Financial Statements'!D54/'Financial Statements'!D$10</f>
        <v>6.9895370245632943E-2</v>
      </c>
      <c r="E84" s="281">
        <f>'Financial Statements'!E54/'Financial Statements'!E$10</f>
        <v>6.2641832584029111E-2</v>
      </c>
      <c r="F84" s="281">
        <f>'Financial Statements'!F54/'Financial Statements'!F$10</f>
        <v>5.7070894429583928E-2</v>
      </c>
      <c r="G84" s="281">
        <f>'Financial Statements'!G54/'Financial Statements'!G$10</f>
        <v>5.2918500058408938E-2</v>
      </c>
      <c r="H84" s="281">
        <f>'Financial Statements'!H54/'Financial Statements'!H$10</f>
        <v>5.8563130277051977E-2</v>
      </c>
      <c r="I84" s="274">
        <f>AVERAGE(C84:H84)</f>
        <v>6.398176207445401E-2</v>
      </c>
      <c r="J84" s="274">
        <f>I84</f>
        <v>6.398176207445401E-2</v>
      </c>
      <c r="K84" s="274">
        <f t="shared" ref="K84:Q84" si="54">J84</f>
        <v>6.398176207445401E-2</v>
      </c>
      <c r="L84" s="274">
        <f t="shared" si="54"/>
        <v>6.398176207445401E-2</v>
      </c>
      <c r="M84" s="274">
        <f t="shared" si="54"/>
        <v>6.398176207445401E-2</v>
      </c>
      <c r="N84" s="274">
        <f t="shared" si="54"/>
        <v>6.398176207445401E-2</v>
      </c>
      <c r="O84" s="274">
        <f t="shared" si="54"/>
        <v>6.398176207445401E-2</v>
      </c>
      <c r="P84" s="274">
        <f t="shared" si="54"/>
        <v>6.398176207445401E-2</v>
      </c>
      <c r="Q84" s="274">
        <f t="shared" si="54"/>
        <v>6.398176207445401E-2</v>
      </c>
    </row>
    <row r="85" spans="1:20" ht="12.75" customHeight="1">
      <c r="A85" s="118"/>
      <c r="B85" s="293" t="s">
        <v>212</v>
      </c>
      <c r="C85" s="281">
        <f>'Financial Statements'!C55/'Financial Statements'!C$10</f>
        <v>7.3256155923321657E-3</v>
      </c>
      <c r="D85" s="281">
        <f>'Financial Statements'!D55/'Financial Statements'!D$10</f>
        <v>6.0397862499438678E-3</v>
      </c>
      <c r="E85" s="281">
        <f>'Financial Statements'!E55/'Financial Statements'!E$10</f>
        <v>6.122885891672019E-3</v>
      </c>
      <c r="F85" s="281">
        <f>'Financial Statements'!F55/'Financial Statements'!F$10</f>
        <v>5.3497862037995194E-3</v>
      </c>
      <c r="G85" s="281">
        <f>'Financial Statements'!G55/'Financial Statements'!G$10</f>
        <v>5.0426385265371285E-3</v>
      </c>
      <c r="H85" s="281">
        <f>'Financial Statements'!H55/'Financial Statements'!H$10</f>
        <v>5.5928653177568077E-3</v>
      </c>
      <c r="I85" s="274">
        <f t="shared" ref="I85" si="55">AVERAGE(C85:H85)</f>
        <v>5.9122629636735842E-3</v>
      </c>
      <c r="J85" s="274">
        <f t="shared" ref="J85:Q87" si="56">I85</f>
        <v>5.9122629636735842E-3</v>
      </c>
      <c r="K85" s="274">
        <f t="shared" si="56"/>
        <v>5.9122629636735842E-3</v>
      </c>
      <c r="L85" s="274">
        <f t="shared" si="56"/>
        <v>5.9122629636735842E-3</v>
      </c>
      <c r="M85" s="274">
        <f t="shared" si="56"/>
        <v>5.9122629636735842E-3</v>
      </c>
      <c r="N85" s="274">
        <f t="shared" si="56"/>
        <v>5.9122629636735842E-3</v>
      </c>
      <c r="O85" s="274">
        <f t="shared" si="56"/>
        <v>5.9122629636735842E-3</v>
      </c>
      <c r="P85" s="274">
        <f t="shared" si="56"/>
        <v>5.9122629636735842E-3</v>
      </c>
      <c r="Q85" s="274">
        <f t="shared" si="56"/>
        <v>5.9122629636735842E-3</v>
      </c>
    </row>
    <row r="86" spans="1:20" ht="12.75" customHeight="1">
      <c r="A86" s="118"/>
      <c r="B86" s="293" t="s">
        <v>134</v>
      </c>
      <c r="C86" s="281">
        <f>'Financial Statements'!C56/'Financial Statements'!C$10</f>
        <v>5.9620886025185142E-3</v>
      </c>
      <c r="D86" s="281">
        <f>'Financial Statements'!D56/'Financial Statements'!D$10</f>
        <v>5.4335623512506174E-3</v>
      </c>
      <c r="E86" s="281">
        <f>'Financial Statements'!E56/'Financial Statements'!E$10</f>
        <v>6.0800685078141728E-3</v>
      </c>
      <c r="F86" s="281">
        <f>'Financial Statements'!F56/'Financial Statements'!F$10</f>
        <v>5.4864595739695802E-3</v>
      </c>
      <c r="G86" s="281">
        <f>'Financial Statements'!G56/'Financial Statements'!G$10</f>
        <v>4.6727152369456021E-3</v>
      </c>
      <c r="H86" s="281">
        <f>'Financial Statements'!H56/'Financial Statements'!H$10</f>
        <v>5.1825779006240691E-3</v>
      </c>
      <c r="I86" s="274">
        <f>H86</f>
        <v>5.1825779006240691E-3</v>
      </c>
      <c r="J86" s="274">
        <f t="shared" si="56"/>
        <v>5.1825779006240691E-3</v>
      </c>
      <c r="K86" s="274">
        <f t="shared" si="56"/>
        <v>5.1825779006240691E-3</v>
      </c>
      <c r="L86" s="274">
        <f t="shared" si="56"/>
        <v>5.1825779006240691E-3</v>
      </c>
      <c r="M86" s="274">
        <f t="shared" si="56"/>
        <v>5.1825779006240691E-3</v>
      </c>
      <c r="N86" s="274">
        <f t="shared" si="56"/>
        <v>5.1825779006240691E-3</v>
      </c>
      <c r="O86" s="274">
        <f t="shared" si="56"/>
        <v>5.1825779006240691E-3</v>
      </c>
      <c r="P86" s="274">
        <f t="shared" si="56"/>
        <v>5.1825779006240691E-3</v>
      </c>
      <c r="Q86" s="274">
        <f t="shared" si="56"/>
        <v>5.1825779006240691E-3</v>
      </c>
    </row>
    <row r="87" spans="1:20" ht="12.75" customHeight="1">
      <c r="A87" s="118"/>
      <c r="B87" s="293" t="s">
        <v>213</v>
      </c>
      <c r="C87" s="281">
        <f>'Financial Statements'!C57/'Financial Statements'!C$10</f>
        <v>6.2187525064834374E-2</v>
      </c>
      <c r="D87" s="281">
        <f>'Financial Statements'!D57/'Financial Statements'!D$10</f>
        <v>6.5584444743814266E-2</v>
      </c>
      <c r="E87" s="281">
        <f>'Financial Statements'!E57/'Financial Statements'!E$10</f>
        <v>8.1802611860415334E-2</v>
      </c>
      <c r="F87" s="281">
        <f>'Financial Statements'!F57/'Financial Statements'!F$10</f>
        <v>7.3608372220161269E-2</v>
      </c>
      <c r="G87" s="281">
        <f>'Financial Statements'!G57/'Financial Statements'!G$10</f>
        <v>8.7827576807756713E-2</v>
      </c>
      <c r="H87" s="281">
        <f>'Financial Statements'!H57/'Financial Statements'!H$10</f>
        <v>0.11181411820596428</v>
      </c>
      <c r="I87" s="274">
        <f>H87</f>
        <v>0.11181411820596428</v>
      </c>
      <c r="J87" s="274">
        <f t="shared" si="56"/>
        <v>0.11181411820596428</v>
      </c>
      <c r="K87" s="274">
        <f t="shared" si="56"/>
        <v>0.11181411820596428</v>
      </c>
      <c r="L87" s="274">
        <f t="shared" si="56"/>
        <v>0.11181411820596428</v>
      </c>
      <c r="M87" s="274">
        <f t="shared" si="56"/>
        <v>0.11181411820596428</v>
      </c>
      <c r="N87" s="274">
        <f t="shared" si="56"/>
        <v>0.11181411820596428</v>
      </c>
      <c r="O87" s="274">
        <f t="shared" si="56"/>
        <v>0.11181411820596428</v>
      </c>
      <c r="P87" s="274">
        <f t="shared" si="56"/>
        <v>0.11181411820596428</v>
      </c>
      <c r="Q87" s="274">
        <f t="shared" si="56"/>
        <v>0.11181411820596428</v>
      </c>
    </row>
    <row r="88" spans="1:20" ht="12.75" customHeight="1">
      <c r="A88" s="118"/>
      <c r="B88" s="40"/>
      <c r="C88" s="118"/>
      <c r="D88" s="118"/>
      <c r="E88" s="118"/>
      <c r="F88" s="118"/>
      <c r="G88" s="118"/>
      <c r="H88" s="118"/>
      <c r="I88" s="269"/>
      <c r="J88" s="269"/>
      <c r="K88" s="269"/>
      <c r="L88" s="269"/>
      <c r="M88" s="269"/>
      <c r="N88" s="269"/>
      <c r="O88" s="269"/>
      <c r="P88" s="269"/>
      <c r="Q88" s="269"/>
    </row>
    <row r="89" spans="1:20" ht="12.75" customHeight="1">
      <c r="A89" s="120"/>
      <c r="B89" s="32" t="s">
        <v>147</v>
      </c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</row>
    <row r="90" spans="1:20" ht="12.75" customHeight="1">
      <c r="A90" s="118"/>
      <c r="B90" s="82" t="s">
        <v>214</v>
      </c>
      <c r="C90" s="281">
        <f>'Financial Statements'!C74/'Financial Statements'!C$10</f>
        <v>0.25147715423896477</v>
      </c>
      <c r="D90" s="281">
        <f>'Financial Statements'!D74/'Financial Statements'!D$10</f>
        <v>0.2113476132740581</v>
      </c>
      <c r="E90" s="281">
        <f>'Financial Statements'!E74/'Financial Statements'!E$10</f>
        <v>0.19096553200599442</v>
      </c>
      <c r="F90" s="281">
        <f>'Financial Statements'!F74/'Financial Statements'!F$10</f>
        <v>0.17429759650116172</v>
      </c>
      <c r="G90" s="281">
        <f>'Financial Statements'!G74/'Financial Statements'!G$10</f>
        <v>0.15386861882325453</v>
      </c>
      <c r="H90" s="281">
        <f>'Financial Statements'!H74/'Financial Statements'!H$10</f>
        <v>0.17191042777861754</v>
      </c>
      <c r="I90" s="274">
        <f>AVERAGE(C90:H90)</f>
        <v>0.19231115710367516</v>
      </c>
      <c r="J90" s="274">
        <f>I90</f>
        <v>0.19231115710367516</v>
      </c>
      <c r="K90" s="274">
        <f t="shared" ref="K90:Q90" si="57">J90</f>
        <v>0.19231115710367516</v>
      </c>
      <c r="L90" s="274">
        <f t="shared" si="57"/>
        <v>0.19231115710367516</v>
      </c>
      <c r="M90" s="274">
        <f t="shared" si="57"/>
        <v>0.19231115710367516</v>
      </c>
      <c r="N90" s="274">
        <f t="shared" si="57"/>
        <v>0.19231115710367516</v>
      </c>
      <c r="O90" s="274">
        <f t="shared" si="57"/>
        <v>0.19231115710367516</v>
      </c>
      <c r="P90" s="274">
        <f t="shared" si="57"/>
        <v>0.19231115710367516</v>
      </c>
      <c r="Q90" s="274">
        <f t="shared" si="57"/>
        <v>0.19231115710367516</v>
      </c>
    </row>
    <row r="91" spans="1:20" ht="12.75" customHeight="1">
      <c r="A91" s="118"/>
      <c r="B91" s="78" t="s">
        <v>215</v>
      </c>
      <c r="C91" s="281">
        <f>'Financial Statements'!C75/'Financial Statements'!C$10</f>
        <v>7.7881453359356201E-2</v>
      </c>
      <c r="D91" s="281">
        <f>'Financial Statements'!D75/'Financial Statements'!D$10</f>
        <v>6.5808972113700653E-2</v>
      </c>
      <c r="E91" s="281">
        <f>'Financial Statements'!E75/'Financial Statements'!E$10</f>
        <v>5.9451937486619567E-2</v>
      </c>
      <c r="F91" s="281">
        <f>'Financial Statements'!F75/'Financial Statements'!F$10</f>
        <v>5.4396001327684164E-2</v>
      </c>
      <c r="G91" s="281">
        <f>'Financial Statements'!G75/'Financial Statements'!G$10</f>
        <v>4.9959113741676726E-2</v>
      </c>
      <c r="H91" s="281">
        <f>'Financial Statements'!H75/'Financial Statements'!H$10</f>
        <v>5.5064890194130731E-2</v>
      </c>
      <c r="I91" s="274">
        <f t="shared" ref="I91" si="58">AVERAGE(C91:H91)</f>
        <v>6.0427061370528008E-2</v>
      </c>
      <c r="J91" s="274">
        <f t="shared" ref="J91:Q91" si="59">I91</f>
        <v>6.0427061370528008E-2</v>
      </c>
      <c r="K91" s="274">
        <f t="shared" si="59"/>
        <v>6.0427061370528008E-2</v>
      </c>
      <c r="L91" s="274">
        <f t="shared" si="59"/>
        <v>6.0427061370528008E-2</v>
      </c>
      <c r="M91" s="274">
        <f t="shared" si="59"/>
        <v>6.0427061370528008E-2</v>
      </c>
      <c r="N91" s="274">
        <f t="shared" si="59"/>
        <v>6.0427061370528008E-2</v>
      </c>
      <c r="O91" s="274">
        <f t="shared" si="59"/>
        <v>6.0427061370528008E-2</v>
      </c>
      <c r="P91" s="274">
        <f t="shared" si="59"/>
        <v>6.0427061370528008E-2</v>
      </c>
      <c r="Q91" s="274">
        <f t="shared" si="59"/>
        <v>6.0427061370528008E-2</v>
      </c>
    </row>
    <row r="92" spans="1:20" ht="12.75" customHeight="1">
      <c r="A92" s="118"/>
      <c r="B92" s="78" t="s">
        <v>216</v>
      </c>
      <c r="C92" s="281">
        <f>'Financial Statements'!C76/'Financial Statements'!C$10</f>
        <v>7.175894981685961E-2</v>
      </c>
      <c r="D92" s="281">
        <f>'Financial Statements'!D76/'Financial Statements'!D$10</f>
        <v>6.6347837801428E-2</v>
      </c>
      <c r="E92" s="281">
        <f>'Financial Statements'!E76/'Financial Statements'!E$10</f>
        <v>5.5940912010276171E-2</v>
      </c>
      <c r="F92" s="281">
        <f>'Financial Statements'!F76/'Financial Statements'!F$10</f>
        <v>4.9944354413573616E-2</v>
      </c>
      <c r="G92" s="281">
        <f>'Financial Statements'!G76/'Financial Statements'!G$10</f>
        <v>5.097153537634827E-2</v>
      </c>
      <c r="H92" s="281">
        <f>'Financial Statements'!H76/'Financial Statements'!H$10</f>
        <v>4.9428836727202052E-2</v>
      </c>
      <c r="I92" s="274">
        <f>H92</f>
        <v>4.9428836727202052E-2</v>
      </c>
      <c r="J92" s="274">
        <f t="shared" ref="J92:Q93" si="60">I92</f>
        <v>4.9428836727202052E-2</v>
      </c>
      <c r="K92" s="274">
        <f t="shared" si="60"/>
        <v>4.9428836727202052E-2</v>
      </c>
      <c r="L92" s="274">
        <f t="shared" si="60"/>
        <v>4.9428836727202052E-2</v>
      </c>
      <c r="M92" s="274">
        <f t="shared" si="60"/>
        <v>4.9428836727202052E-2</v>
      </c>
      <c r="N92" s="274">
        <f t="shared" si="60"/>
        <v>4.9428836727202052E-2</v>
      </c>
      <c r="O92" s="274">
        <f t="shared" si="60"/>
        <v>4.9428836727202052E-2</v>
      </c>
      <c r="P92" s="274">
        <f t="shared" si="60"/>
        <v>4.9428836727202052E-2</v>
      </c>
      <c r="Q92" s="274">
        <f t="shared" si="60"/>
        <v>4.9428836727202052E-2</v>
      </c>
    </row>
    <row r="93" spans="1:20" ht="12.75" customHeight="1">
      <c r="B93" s="78" t="s">
        <v>217</v>
      </c>
      <c r="C93" s="281">
        <f>'Financial Statements'!C77/'Financial Statements'!C$10</f>
        <v>0</v>
      </c>
      <c r="D93" s="281">
        <f>'Financial Statements'!D77/'Financial Statements'!D$10</f>
        <v>0</v>
      </c>
      <c r="E93" s="281">
        <f>'Financial Statements'!E77/'Financial Statements'!E$10</f>
        <v>0</v>
      </c>
      <c r="F93" s="281">
        <f>'Financial Statements'!F77/'Financial Statements'!F$10</f>
        <v>0</v>
      </c>
      <c r="G93" s="281">
        <f>'Financial Statements'!G77/'Financial Statements'!G$10</f>
        <v>0</v>
      </c>
      <c r="H93" s="281">
        <f>'Financial Statements'!H77/'Financial Statements'!H$10</f>
        <v>0</v>
      </c>
      <c r="I93" s="274">
        <f>H93</f>
        <v>0</v>
      </c>
      <c r="J93" s="274">
        <f t="shared" si="60"/>
        <v>0</v>
      </c>
      <c r="K93" s="274">
        <f t="shared" si="60"/>
        <v>0</v>
      </c>
      <c r="L93" s="274">
        <f t="shared" si="60"/>
        <v>0</v>
      </c>
      <c r="M93" s="274">
        <f t="shared" si="60"/>
        <v>0</v>
      </c>
      <c r="N93" s="274">
        <f t="shared" si="60"/>
        <v>0</v>
      </c>
      <c r="O93" s="274">
        <f t="shared" si="60"/>
        <v>0</v>
      </c>
      <c r="P93" s="274">
        <f t="shared" si="60"/>
        <v>0</v>
      </c>
      <c r="Q93" s="274">
        <f t="shared" si="60"/>
        <v>0</v>
      </c>
    </row>
    <row r="94" spans="1:20" ht="12.75" customHeight="1">
      <c r="B94" s="78"/>
      <c r="I94" s="270"/>
      <c r="J94" s="270"/>
      <c r="K94" s="270"/>
      <c r="L94" s="270"/>
      <c r="M94" s="270"/>
      <c r="N94" s="270"/>
      <c r="O94" s="270"/>
      <c r="P94" s="270"/>
      <c r="Q94" s="270"/>
    </row>
    <row r="95" spans="1:20" ht="12.75" customHeight="1">
      <c r="A95" s="120"/>
      <c r="B95" s="32" t="s">
        <v>218</v>
      </c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</row>
    <row r="96" spans="1:20" ht="12.75" customHeight="1">
      <c r="A96"/>
      <c r="B96" s="73" t="s">
        <v>219</v>
      </c>
      <c r="C96" s="281">
        <f>'Financial Statements'!C82/'Financial Statements'!C$10</f>
        <v>8.0207469989038315E-5</v>
      </c>
      <c r="D96" s="281">
        <f>'Financial Statements'!D82/'Financial Statements'!D$10</f>
        <v>6.7358210965916748E-5</v>
      </c>
      <c r="E96" s="281">
        <f>'Financial Statements'!E82/'Financial Statements'!E$10</f>
        <v>6.4226075786769429E-5</v>
      </c>
      <c r="F96" s="281">
        <f>'Financial Statements'!F82/'Financial Statements'!F$10</f>
        <v>5.8574301501454593E-5</v>
      </c>
      <c r="G96" s="281">
        <f>'Financial Statements'!G82/'Financial Statements'!G$10</f>
        <v>5.840894046182002E-5</v>
      </c>
      <c r="H96" s="281">
        <f>'Financial Statements'!H82/'Financial Statements'!H$10</f>
        <v>6.4782223757800853E-5</v>
      </c>
      <c r="I96" s="274">
        <f>AVERAGE(C96:H96)</f>
        <v>6.5592870410466662E-5</v>
      </c>
      <c r="J96" s="274">
        <f>I96</f>
        <v>6.5592870410466662E-5</v>
      </c>
      <c r="K96" s="274">
        <f t="shared" ref="K96:Q97" si="61">J96</f>
        <v>6.5592870410466662E-5</v>
      </c>
      <c r="L96" s="274">
        <f t="shared" si="61"/>
        <v>6.5592870410466662E-5</v>
      </c>
      <c r="M96" s="274">
        <f t="shared" si="61"/>
        <v>6.5592870410466662E-5</v>
      </c>
      <c r="N96" s="274">
        <f t="shared" si="61"/>
        <v>6.5592870410466662E-5</v>
      </c>
      <c r="O96" s="274">
        <f t="shared" si="61"/>
        <v>6.5592870410466662E-5</v>
      </c>
      <c r="P96" s="274">
        <f t="shared" si="61"/>
        <v>6.5592870410466662E-5</v>
      </c>
      <c r="Q96" s="274">
        <f t="shared" si="61"/>
        <v>6.5592870410466662E-5</v>
      </c>
    </row>
    <row r="97" spans="1:17" ht="12.75" customHeight="1">
      <c r="A97"/>
      <c r="B97" s="73" t="s">
        <v>220</v>
      </c>
      <c r="C97" s="281">
        <f>'Financial Statements'!C83/'Financial Statements'!C$10</f>
        <v>0.22188059781300964</v>
      </c>
      <c r="D97" s="281">
        <f>'Financial Statements'!D83/'Financial Statements'!D$10</f>
        <v>0.2237415240917868</v>
      </c>
      <c r="E97" s="281">
        <f>'Financial Statements'!E83/'Financial Statements'!E$10</f>
        <v>0.24585741811175338</v>
      </c>
      <c r="F97" s="281">
        <f>'Financial Statements'!F83/'Financial Statements'!F$10</f>
        <v>0.24234141007868482</v>
      </c>
      <c r="G97" s="281">
        <f>'Financial Statements'!G83/'Financial Statements'!G$10</f>
        <v>0.26106849421751488</v>
      </c>
      <c r="H97" s="281">
        <f>'Financial Statements'!H83/'Financial Statements'!H$10</f>
        <v>0.30652788874732773</v>
      </c>
      <c r="I97" s="274">
        <f>AVERAGE(C97:G97)</f>
        <v>0.23897788886254992</v>
      </c>
      <c r="J97" s="274">
        <f>I97</f>
        <v>0.23897788886254992</v>
      </c>
      <c r="K97" s="274">
        <f t="shared" si="61"/>
        <v>0.23897788886254992</v>
      </c>
      <c r="L97" s="274">
        <f t="shared" si="61"/>
        <v>0.23897788886254992</v>
      </c>
      <c r="M97" s="274">
        <f t="shared" si="61"/>
        <v>0.23897788886254992</v>
      </c>
      <c r="N97" s="274">
        <f t="shared" si="61"/>
        <v>0.23897788886254992</v>
      </c>
      <c r="O97" s="274">
        <f t="shared" si="61"/>
        <v>0.23897788886254992</v>
      </c>
      <c r="P97" s="274">
        <f t="shared" si="61"/>
        <v>0.23897788886254992</v>
      </c>
      <c r="Q97" s="274">
        <f t="shared" si="61"/>
        <v>0.23897788886254992</v>
      </c>
    </row>
    <row r="98" spans="1:17" ht="12.75" customHeight="1">
      <c r="A98"/>
      <c r="B98" s="73" t="s">
        <v>221</v>
      </c>
      <c r="C98" s="281">
        <f>'Financial Statements'!C84/'Financial Statements'!C$10</f>
        <v>-1.4972061064620484E-3</v>
      </c>
      <c r="D98" s="281">
        <f>'Financial Statements'!D84/'Financial Statements'!D$10</f>
        <v>-8.5320400556827877E-3</v>
      </c>
      <c r="E98" s="281">
        <f>'Financial Statements'!E84/'Financial Statements'!E$10</f>
        <v>6.8079640333975596E-3</v>
      </c>
      <c r="F98" s="281">
        <f>'Financial Statements'!F84/'Financial Statements'!F$10</f>
        <v>4.510221215612004E-3</v>
      </c>
      <c r="G98" s="281">
        <f>'Financial Statements'!G84/'Financial Statements'!G$10</f>
        <v>1.0318912814921536E-3</v>
      </c>
      <c r="H98" s="281">
        <f>'Financial Statements'!H84/'Financial Statements'!H$10</f>
        <v>-5.5712712431708741E-3</v>
      </c>
      <c r="I98" s="274">
        <f>AVERAGE(C98:H98)</f>
        <v>-5.417401458023322E-4</v>
      </c>
      <c r="J98" s="274">
        <f>I98</f>
        <v>-5.417401458023322E-4</v>
      </c>
      <c r="K98" s="274">
        <f t="shared" ref="K98:Q98" si="62">J98</f>
        <v>-5.417401458023322E-4</v>
      </c>
      <c r="L98" s="274">
        <f t="shared" si="62"/>
        <v>-5.417401458023322E-4</v>
      </c>
      <c r="M98" s="274">
        <f t="shared" si="62"/>
        <v>-5.417401458023322E-4</v>
      </c>
      <c r="N98" s="274">
        <f t="shared" si="62"/>
        <v>-5.417401458023322E-4</v>
      </c>
      <c r="O98" s="274">
        <f t="shared" si="62"/>
        <v>-5.417401458023322E-4</v>
      </c>
      <c r="P98" s="274">
        <f t="shared" si="62"/>
        <v>-5.417401458023322E-4</v>
      </c>
      <c r="Q98" s="274">
        <f t="shared" si="62"/>
        <v>-5.417401458023322E-4</v>
      </c>
    </row>
    <row r="99" spans="1:17" ht="12.75" customHeight="1">
      <c r="A99"/>
      <c r="B99"/>
      <c r="C99"/>
      <c r="D99"/>
      <c r="E99"/>
      <c r="F99"/>
      <c r="G99"/>
      <c r="H99"/>
      <c r="I99" s="297"/>
      <c r="J99" s="297"/>
      <c r="K99" s="297"/>
      <c r="L99" s="297"/>
      <c r="M99" s="297"/>
      <c r="N99" s="297"/>
      <c r="O99" s="297"/>
      <c r="P99" s="297"/>
      <c r="Q99" s="297"/>
    </row>
    <row r="100" spans="1:17" ht="12.75" customHeight="1">
      <c r="A100" s="120"/>
      <c r="B100" s="32" t="s">
        <v>222</v>
      </c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</row>
    <row r="101" spans="1:17" ht="12.75" customHeight="1">
      <c r="A101" s="117"/>
      <c r="B101" s="118" t="s">
        <v>223</v>
      </c>
      <c r="C101" s="300"/>
      <c r="D101" s="300">
        <f>'Financial Statements'!C85</f>
        <v>-191</v>
      </c>
      <c r="E101" s="300">
        <f>D105</f>
        <v>3290</v>
      </c>
      <c r="F101" s="300">
        <f t="shared" ref="F101:Q101" si="63">E105</f>
        <v>3485</v>
      </c>
      <c r="G101" s="300">
        <f t="shared" si="63"/>
        <v>1063</v>
      </c>
      <c r="H101" s="300">
        <f t="shared" si="63"/>
        <v>344</v>
      </c>
      <c r="I101" s="301">
        <f t="shared" si="63"/>
        <v>-1722</v>
      </c>
      <c r="J101" s="301">
        <f t="shared" si="63"/>
        <v>-3544.6341211884655</v>
      </c>
      <c r="K101" s="301">
        <f t="shared" si="63"/>
        <v>-4771.6761644164708</v>
      </c>
      <c r="L101" s="301">
        <f t="shared" si="63"/>
        <v>-5904.6624831974186</v>
      </c>
      <c r="M101" s="301">
        <f t="shared" si="63"/>
        <v>-5786.9336016438974</v>
      </c>
      <c r="N101" s="301">
        <f t="shared" si="63"/>
        <v>-5485.9030543886493</v>
      </c>
      <c r="O101" s="301">
        <f t="shared" si="63"/>
        <v>-5132.893937521053</v>
      </c>
      <c r="P101" s="301">
        <f t="shared" si="63"/>
        <v>-4736.5547900900892</v>
      </c>
      <c r="Q101" s="301">
        <f t="shared" si="63"/>
        <v>-4300.0772496205955</v>
      </c>
    </row>
    <row r="102" spans="1:17" ht="12.75" customHeight="1">
      <c r="A102" s="117"/>
      <c r="B102" s="118" t="s">
        <v>224</v>
      </c>
      <c r="C102" s="300"/>
      <c r="D102" s="300">
        <f>'Financial Statements'!D37</f>
        <v>5727</v>
      </c>
      <c r="E102" s="300">
        <f>'Financial Statements'!E37</f>
        <v>6046</v>
      </c>
      <c r="F102" s="300">
        <f>'Financial Statements'!F37</f>
        <v>5070</v>
      </c>
      <c r="G102" s="300">
        <f>'Financial Statements'!G37</f>
        <v>5700</v>
      </c>
      <c r="H102" s="300">
        <f>'Financial Statements'!H37</f>
        <v>3219</v>
      </c>
      <c r="I102" s="301">
        <f>'Financial Statements'!I37</f>
        <v>2420.3689680676998</v>
      </c>
      <c r="J102" s="301">
        <f>'Financial Statements'!J37</f>
        <v>3523.4864972392579</v>
      </c>
      <c r="K102" s="301">
        <f>'Financial Statements'!K37</f>
        <v>3942.8972674967263</v>
      </c>
      <c r="L102" s="301">
        <f>'Financial Statements'!L37</f>
        <v>6175.3766044802142</v>
      </c>
      <c r="M102" s="301">
        <f>'Financial Statements'!M37</f>
        <v>6810.9319606567105</v>
      </c>
      <c r="N102" s="301">
        <f>'Financial Statements'!N37</f>
        <v>7433.380626961145</v>
      </c>
      <c r="O102" s="301">
        <f>'Financial Statements'!O37</f>
        <v>7947.3017480236467</v>
      </c>
      <c r="P102" s="301">
        <f>'Financial Statements'!P37</f>
        <v>8474.0374142520177</v>
      </c>
      <c r="Q102" s="301">
        <f>'Financial Statements'!Q37</f>
        <v>9012.2418537287413</v>
      </c>
    </row>
    <row r="103" spans="1:17" ht="12.75" customHeight="1">
      <c r="A103" s="117"/>
      <c r="B103" s="118" t="s">
        <v>225</v>
      </c>
      <c r="C103" s="300"/>
      <c r="D103" s="300">
        <f>'Financial Statements'!D117</f>
        <v>-1638</v>
      </c>
      <c r="E103" s="300">
        <f>'Financial Statements'!E117</f>
        <v>-1837</v>
      </c>
      <c r="F103" s="300">
        <f>'Financial Statements'!F117</f>
        <v>-2012</v>
      </c>
      <c r="G103" s="300">
        <f>'Financial Statements'!G117</f>
        <v>-2169</v>
      </c>
      <c r="H103" s="300">
        <f>'Financial Statements'!H117</f>
        <v>-2300</v>
      </c>
      <c r="I103" s="301">
        <f t="shared" ref="I103:Q103" si="64">-I102*I107</f>
        <v>-827.29504090722628</v>
      </c>
      <c r="J103" s="301">
        <f t="shared" si="64"/>
        <v>-1204.3465043252352</v>
      </c>
      <c r="K103" s="301">
        <f t="shared" si="64"/>
        <v>-1347.7033457468519</v>
      </c>
      <c r="L103" s="301">
        <f t="shared" si="64"/>
        <v>-2110.776707197515</v>
      </c>
      <c r="M103" s="301">
        <f t="shared" si="64"/>
        <v>-2328.0129225529809</v>
      </c>
      <c r="N103" s="301">
        <f t="shared" si="64"/>
        <v>-2540.7692013050109</v>
      </c>
      <c r="O103" s="301">
        <f t="shared" si="64"/>
        <v>-2716.4301854284026</v>
      </c>
      <c r="P103" s="301">
        <f t="shared" si="64"/>
        <v>-2896.471249534256</v>
      </c>
      <c r="Q103" s="301">
        <f t="shared" si="64"/>
        <v>-3080.432401593157</v>
      </c>
    </row>
    <row r="104" spans="1:17" ht="12.75" customHeight="1">
      <c r="A104" s="117"/>
      <c r="B104" s="155" t="s">
        <v>226</v>
      </c>
      <c r="C104" s="302"/>
      <c r="D104" s="302">
        <f>'Financial Statements'!D116</f>
        <v>-608</v>
      </c>
      <c r="E104" s="302">
        <f>'Financial Statements'!E116</f>
        <v>-4014</v>
      </c>
      <c r="F104" s="302">
        <f>'Financial Statements'!F116</f>
        <v>-5480</v>
      </c>
      <c r="G104" s="302">
        <f>'Financial Statements'!G116</f>
        <v>-4250</v>
      </c>
      <c r="H104" s="302">
        <f>'Financial Statements'!H116</f>
        <v>-2985</v>
      </c>
      <c r="I104" s="303">
        <f>-I108*'Financial Statements'!I10</f>
        <v>-3415.708048348939</v>
      </c>
      <c r="J104" s="303">
        <f>-J108*'Financial Statements'!J10</f>
        <v>-3546.1820361420282</v>
      </c>
      <c r="K104" s="303">
        <f>-K108*'Financial Statements'!K10</f>
        <v>-3728.1802405308217</v>
      </c>
      <c r="L104" s="303">
        <f>-L108*'Financial Statements'!L10</f>
        <v>-3946.871015729178</v>
      </c>
      <c r="M104" s="303">
        <f>-M108*'Financial Statements'!M10</f>
        <v>-4181.8884908484815</v>
      </c>
      <c r="N104" s="303">
        <f>-N108*'Financial Statements'!N10</f>
        <v>-4539.6023087885378</v>
      </c>
      <c r="O104" s="303">
        <f>-O108*'Financial Statements'!O10</f>
        <v>-4834.5324151642808</v>
      </c>
      <c r="P104" s="303">
        <f>-P108*'Financial Statements'!P10</f>
        <v>-5141.0886242482675</v>
      </c>
      <c r="Q104" s="303">
        <f>-Q108*'Financial Statements'!Q10</f>
        <v>-5458.9798695740938</v>
      </c>
    </row>
    <row r="105" spans="1:17" ht="12.75" customHeight="1">
      <c r="A105" s="117"/>
      <c r="B105" s="118" t="s">
        <v>227</v>
      </c>
      <c r="C105" s="300"/>
      <c r="D105" s="300">
        <f>SUM(D101:D104)</f>
        <v>3290</v>
      </c>
      <c r="E105" s="300">
        <f t="shared" ref="E105:Q105" si="65">SUM(E101:E104)</f>
        <v>3485</v>
      </c>
      <c r="F105" s="300">
        <f t="shared" si="65"/>
        <v>1063</v>
      </c>
      <c r="G105" s="300">
        <f t="shared" si="65"/>
        <v>344</v>
      </c>
      <c r="H105" s="300">
        <f t="shared" si="65"/>
        <v>-1722</v>
      </c>
      <c r="I105" s="301">
        <f t="shared" si="65"/>
        <v>-3544.6341211884655</v>
      </c>
      <c r="J105" s="301">
        <f t="shared" si="65"/>
        <v>-4771.6761644164708</v>
      </c>
      <c r="K105" s="301">
        <f>SUM(K101:K104)</f>
        <v>-5904.6624831974186</v>
      </c>
      <c r="L105" s="301">
        <f t="shared" si="65"/>
        <v>-5786.9336016438974</v>
      </c>
      <c r="M105" s="301">
        <f t="shared" si="65"/>
        <v>-5485.9030543886493</v>
      </c>
      <c r="N105" s="301">
        <f t="shared" si="65"/>
        <v>-5132.893937521053</v>
      </c>
      <c r="O105" s="301">
        <f t="shared" si="65"/>
        <v>-4736.5547900900892</v>
      </c>
      <c r="P105" s="301">
        <f t="shared" si="65"/>
        <v>-4300.0772496205955</v>
      </c>
      <c r="Q105" s="301">
        <f t="shared" si="65"/>
        <v>-3827.247667059105</v>
      </c>
    </row>
    <row r="106" spans="1:17" ht="12.75" customHeight="1">
      <c r="A106" s="117"/>
      <c r="B106" s="118"/>
      <c r="C106" s="141"/>
      <c r="D106" s="141"/>
      <c r="E106" s="141"/>
      <c r="F106" s="141"/>
      <c r="G106" s="141"/>
      <c r="H106" s="141"/>
      <c r="I106" s="296"/>
      <c r="J106" s="296"/>
      <c r="K106" s="296"/>
      <c r="L106" s="296"/>
      <c r="M106" s="296"/>
      <c r="N106" s="296"/>
      <c r="O106" s="296"/>
      <c r="P106" s="296"/>
      <c r="Q106" s="296"/>
    </row>
    <row r="107" spans="1:17" ht="12.75" customHeight="1">
      <c r="B107" s="284" t="s">
        <v>228</v>
      </c>
      <c r="C107" s="247"/>
      <c r="D107" s="281">
        <f>ABS(D103)/D102</f>
        <v>0.286013619696176</v>
      </c>
      <c r="E107" s="281">
        <f>ABS(E103)/E102</f>
        <v>0.30383724776711873</v>
      </c>
      <c r="F107" s="281">
        <f>ABS(F103)/F102</f>
        <v>0.39684418145956607</v>
      </c>
      <c r="G107" s="281">
        <f>ABS(G103)/G102</f>
        <v>0.38052631578947366</v>
      </c>
      <c r="H107" s="281">
        <f>ABS(H103)/H102</f>
        <v>0.71450761105933525</v>
      </c>
      <c r="I107" s="282">
        <f>AVERAGE(D107:G107)</f>
        <v>0.34180534117808359</v>
      </c>
      <c r="J107" s="274">
        <f>I107</f>
        <v>0.34180534117808359</v>
      </c>
      <c r="K107" s="274">
        <f t="shared" ref="K107:Q107" si="66">J107</f>
        <v>0.34180534117808359</v>
      </c>
      <c r="L107" s="274">
        <f t="shared" si="66"/>
        <v>0.34180534117808359</v>
      </c>
      <c r="M107" s="274">
        <f t="shared" si="66"/>
        <v>0.34180534117808359</v>
      </c>
      <c r="N107" s="274">
        <f t="shared" si="66"/>
        <v>0.34180534117808359</v>
      </c>
      <c r="O107" s="274">
        <f t="shared" si="66"/>
        <v>0.34180534117808359</v>
      </c>
      <c r="P107" s="274">
        <f t="shared" si="66"/>
        <v>0.34180534117808359</v>
      </c>
      <c r="Q107" s="274">
        <f t="shared" si="66"/>
        <v>0.34180534117808359</v>
      </c>
    </row>
    <row r="108" spans="1:17" ht="12.75" customHeight="1">
      <c r="B108" s="284" t="s">
        <v>229</v>
      </c>
      <c r="C108" s="247"/>
      <c r="D108" s="281">
        <f>ABS(D104)/'Financial Statements'!C10</f>
        <v>1.6255380584445096E-2</v>
      </c>
      <c r="E108" s="281">
        <f>ABS(E104)/'Financial Statements'!D10</f>
        <v>9.0125286272396604E-2</v>
      </c>
      <c r="F108" s="281">
        <f>ABS(F104)/'Financial Statements'!E10</f>
        <v>0.11731963177049883</v>
      </c>
      <c r="G108" s="281">
        <f>ABS(G104)/'Financial Statements'!F10</f>
        <v>8.2980260460394015E-2</v>
      </c>
      <c r="H108" s="281">
        <f>ABS(H104)/'Financial Statements'!G10</f>
        <v>5.8116895759510921E-2</v>
      </c>
      <c r="I108" s="282">
        <f>AVERAGE(D108:H108)</f>
        <v>7.2959490969449092E-2</v>
      </c>
      <c r="J108" s="274">
        <f>I108</f>
        <v>7.2959490969449092E-2</v>
      </c>
      <c r="K108" s="274">
        <f t="shared" ref="K108:Q108" si="67">J108</f>
        <v>7.2959490969449092E-2</v>
      </c>
      <c r="L108" s="274">
        <f t="shared" si="67"/>
        <v>7.2959490969449092E-2</v>
      </c>
      <c r="M108" s="274">
        <f t="shared" si="67"/>
        <v>7.2959490969449092E-2</v>
      </c>
      <c r="N108" s="274">
        <f t="shared" si="67"/>
        <v>7.2959490969449092E-2</v>
      </c>
      <c r="O108" s="274">
        <f t="shared" si="67"/>
        <v>7.2959490969449092E-2</v>
      </c>
      <c r="P108" s="274">
        <f t="shared" si="67"/>
        <v>7.2959490969449092E-2</v>
      </c>
      <c r="Q108" s="274">
        <f t="shared" si="67"/>
        <v>7.2959490969449092E-2</v>
      </c>
    </row>
    <row r="109" spans="1:17" ht="12.75" customHeight="1">
      <c r="B109" s="41"/>
      <c r="C109" s="247"/>
      <c r="D109" s="247"/>
      <c r="E109" s="247"/>
      <c r="F109" s="247"/>
      <c r="G109" s="247"/>
      <c r="H109" s="287"/>
      <c r="I109" s="270"/>
      <c r="J109" s="270"/>
      <c r="K109" s="270"/>
      <c r="L109" s="270"/>
      <c r="M109" s="270"/>
      <c r="N109" s="270"/>
      <c r="O109" s="270"/>
      <c r="P109" s="270"/>
      <c r="Q109" s="270"/>
    </row>
    <row r="110" spans="1:17" ht="12.75" customHeight="1">
      <c r="A110" s="120"/>
      <c r="B110" s="32" t="s">
        <v>230</v>
      </c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</row>
    <row r="111" spans="1:17" ht="12.75" customHeight="1">
      <c r="B111" s="284" t="s">
        <v>231</v>
      </c>
      <c r="C111" s="281">
        <f>ABS('Financial Statements'!C98)/'Financial Statements'!C76</f>
        <v>0.14157973174366617</v>
      </c>
      <c r="D111" s="281">
        <f>ABS('Financial Statements'!D98)/'Financial Statements'!D76</f>
        <v>0.13028764805414553</v>
      </c>
      <c r="E111" s="281">
        <f>ABS('Financial Statements'!E98)/'Financial Statements'!E76</f>
        <v>0.24875621890547264</v>
      </c>
      <c r="F111" s="281">
        <f>ABS('Financial Statements'!F98)/'Financial Statements'!F76</f>
        <v>4.5738858483189995E-2</v>
      </c>
      <c r="G111" s="281">
        <f>ABS('Financial Statements'!G98)/'Financial Statements'!G76</f>
        <v>0.18983957219251338</v>
      </c>
      <c r="H111" s="281">
        <f>ABS('Financial Statements'!H98)/'Financial Statements'!H76</f>
        <v>0.12581913499344691</v>
      </c>
      <c r="I111" s="282">
        <f>AVERAGE(C111:H111)</f>
        <v>0.14700352739540576</v>
      </c>
      <c r="J111" s="274">
        <f>I111</f>
        <v>0.14700352739540576</v>
      </c>
      <c r="K111" s="274">
        <f t="shared" ref="K111:Q111" si="68">J111</f>
        <v>0.14700352739540576</v>
      </c>
      <c r="L111" s="274">
        <f t="shared" si="68"/>
        <v>0.14700352739540576</v>
      </c>
      <c r="M111" s="274">
        <f t="shared" si="68"/>
        <v>0.14700352739540576</v>
      </c>
      <c r="N111" s="274">
        <f t="shared" si="68"/>
        <v>0.14700352739540576</v>
      </c>
      <c r="O111" s="274">
        <f t="shared" si="68"/>
        <v>0.14700352739540576</v>
      </c>
      <c r="P111" s="274">
        <f t="shared" si="68"/>
        <v>0.14700352739540576</v>
      </c>
      <c r="Q111" s="274">
        <f t="shared" si="68"/>
        <v>0.14700352739540576</v>
      </c>
    </row>
    <row r="112" spans="1:17" ht="12.75" customHeight="1">
      <c r="B112" s="284" t="s">
        <v>232</v>
      </c>
      <c r="C112" s="307">
        <f>'Financial Statements'!C99/'Financial Statements'!C10</f>
        <v>1.1469668208432478E-2</v>
      </c>
      <c r="D112" s="307">
        <f>'Financial Statements'!D99/'Financial Statements'!D10</f>
        <v>1.3718622300058377E-2</v>
      </c>
      <c r="E112" s="307">
        <f>'Financial Statements'!E99/'Financial Statements'!E10</f>
        <v>1.3658745450652965E-2</v>
      </c>
      <c r="F112" s="307">
        <f>'Financial Statements'!F99/'Financial Statements'!F10</f>
        <v>1.4741199211199407E-2</v>
      </c>
      <c r="G112" s="307">
        <f>'Financial Statements'!G99/'Financial Statements'!G10</f>
        <v>1.5653596043767766E-2</v>
      </c>
      <c r="H112" s="307">
        <f>'Financial Statements'!H99/'Financial Statements'!H10</f>
        <v>1.5310198881426937E-2</v>
      </c>
      <c r="I112" s="282">
        <f t="shared" ref="I112:I113" si="69">AVERAGE(C112:H112)</f>
        <v>1.409200501592299E-2</v>
      </c>
      <c r="J112" s="274">
        <f t="shared" ref="J112:Q113" si="70">I112</f>
        <v>1.409200501592299E-2</v>
      </c>
      <c r="K112" s="274">
        <f t="shared" si="70"/>
        <v>1.409200501592299E-2</v>
      </c>
      <c r="L112" s="274">
        <f t="shared" si="70"/>
        <v>1.409200501592299E-2</v>
      </c>
      <c r="M112" s="274">
        <f t="shared" si="70"/>
        <v>1.409200501592299E-2</v>
      </c>
      <c r="N112" s="274">
        <f t="shared" si="70"/>
        <v>1.409200501592299E-2</v>
      </c>
      <c r="O112" s="274">
        <f t="shared" si="70"/>
        <v>1.409200501592299E-2</v>
      </c>
      <c r="P112" s="274">
        <f t="shared" si="70"/>
        <v>1.409200501592299E-2</v>
      </c>
      <c r="Q112" s="274">
        <f t="shared" si="70"/>
        <v>1.409200501592299E-2</v>
      </c>
    </row>
    <row r="113" spans="1:17" ht="12.75" customHeight="1">
      <c r="B113" s="284" t="s">
        <v>233</v>
      </c>
      <c r="C113" s="281">
        <f>'Financial Statements'!C100/'Financial Statements'!C$10</f>
        <v>6.1492393658262707E-4</v>
      </c>
      <c r="D113" s="281">
        <f>'Financial Statements'!D100/'Financial Statements'!D$10</f>
        <v>-3.0984777044321702E-3</v>
      </c>
      <c r="E113" s="281">
        <f>'Financial Statements'!E100/'Financial Statements'!E$10</f>
        <v>-5.5662599015200167E-4</v>
      </c>
      <c r="F113" s="281">
        <f>'Financial Statements'!F100/'Financial Statements'!F$10</f>
        <v>-4.1587754066032762E-3</v>
      </c>
      <c r="G113" s="281">
        <f>'Financial Statements'!G100/'Financial Statements'!G$10</f>
        <v>-2.686811261243721E-3</v>
      </c>
      <c r="H113" s="281">
        <f>'Financial Statements'!H100/'Financial Statements'!H$10</f>
        <v>7.9898075967954391E-4</v>
      </c>
      <c r="I113" s="282">
        <f t="shared" si="69"/>
        <v>-1.5144642776948327E-3</v>
      </c>
      <c r="J113" s="274">
        <f t="shared" si="70"/>
        <v>-1.5144642776948327E-3</v>
      </c>
      <c r="K113" s="274">
        <f t="shared" si="70"/>
        <v>-1.5144642776948327E-3</v>
      </c>
      <c r="L113" s="274">
        <f t="shared" si="70"/>
        <v>-1.5144642776948327E-3</v>
      </c>
      <c r="M113" s="274">
        <f t="shared" si="70"/>
        <v>-1.5144642776948327E-3</v>
      </c>
      <c r="N113" s="274">
        <f t="shared" si="70"/>
        <v>-1.5144642776948327E-3</v>
      </c>
      <c r="O113" s="274">
        <f t="shared" si="70"/>
        <v>-1.5144642776948327E-3</v>
      </c>
      <c r="P113" s="274">
        <f t="shared" si="70"/>
        <v>-1.5144642776948327E-3</v>
      </c>
      <c r="Q113" s="274">
        <f t="shared" si="70"/>
        <v>-1.5144642776948327E-3</v>
      </c>
    </row>
    <row r="114" spans="1:17" ht="12.75" customHeight="1">
      <c r="I114" s="270"/>
      <c r="J114" s="270"/>
      <c r="K114" s="270"/>
      <c r="L114" s="270"/>
      <c r="M114" s="270"/>
      <c r="N114" s="270"/>
      <c r="O114" s="270"/>
      <c r="P114" s="270"/>
      <c r="Q114" s="270"/>
    </row>
    <row r="115" spans="1:17" ht="12.75" customHeight="1">
      <c r="A115" s="120"/>
      <c r="B115" s="32" t="s">
        <v>234</v>
      </c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</row>
    <row r="116" spans="1:17" ht="12.75" customHeight="1">
      <c r="B116" s="112" t="s">
        <v>235</v>
      </c>
      <c r="C116" s="281">
        <f>'Financial Statements'!C115/'Financial Statements'!C$10</f>
        <v>2.3661203646766302E-2</v>
      </c>
      <c r="D116" s="281">
        <f>'Financial Statements'!D115/'Financial Statements'!D$10</f>
        <v>2.631460775068481E-2</v>
      </c>
      <c r="E116" s="281">
        <f>'Financial Statements'!E115/'Financial Statements'!E$10</f>
        <v>2.4641404410190536E-2</v>
      </c>
      <c r="F116" s="281">
        <f>'Financial Statements'!F115/'Financial Statements'!F$10</f>
        <v>1.2710623425815647E-2</v>
      </c>
      <c r="G116" s="281">
        <f>'Financial Statements'!G115/'Financial Statements'!G$10</f>
        <v>1.2986254429344651E-2</v>
      </c>
      <c r="H116" s="281">
        <f>'Financial Statements'!H115/'Financial Statements'!H$10</f>
        <v>1.1898335096849424E-2</v>
      </c>
      <c r="I116" s="282">
        <f>AVERAGE(C116:H116)</f>
        <v>1.8702071459941894E-2</v>
      </c>
      <c r="J116" s="274">
        <f>I116</f>
        <v>1.8702071459941894E-2</v>
      </c>
      <c r="K116" s="274">
        <f t="shared" ref="K116:Q117" si="71">J116</f>
        <v>1.8702071459941894E-2</v>
      </c>
      <c r="L116" s="274">
        <f t="shared" si="71"/>
        <v>1.8702071459941894E-2</v>
      </c>
      <c r="M116" s="274">
        <f t="shared" si="71"/>
        <v>1.8702071459941894E-2</v>
      </c>
      <c r="N116" s="274">
        <f t="shared" si="71"/>
        <v>1.8702071459941894E-2</v>
      </c>
      <c r="O116" s="274">
        <f t="shared" si="71"/>
        <v>1.8702071459941894E-2</v>
      </c>
      <c r="P116" s="274">
        <f t="shared" si="71"/>
        <v>1.8702071459941894E-2</v>
      </c>
      <c r="Q116" s="274">
        <f t="shared" si="71"/>
        <v>1.8702071459941894E-2</v>
      </c>
    </row>
    <row r="117" spans="1:17" ht="12.75" customHeight="1">
      <c r="B117" s="114" t="s">
        <v>229</v>
      </c>
      <c r="C117" s="281">
        <f>ABS('Financial Statements'!C116)/'Financial Statements'!C10</f>
        <v>8.1998770152126838E-2</v>
      </c>
      <c r="D117" s="281">
        <f>ABS('Financial Statements'!D116)/'Financial Statements'!D10</f>
        <v>1.3651264089092461E-2</v>
      </c>
      <c r="E117" s="281">
        <f>ABS('Financial Statements'!E116)/'Financial Statements'!E10</f>
        <v>8.5934489402697489E-2</v>
      </c>
      <c r="F117" s="281">
        <f>ABS('Financial Statements'!F116)/'Financial Statements'!F10</f>
        <v>0.10699572407599039</v>
      </c>
      <c r="G117" s="281">
        <f>ABS('Financial Statements'!G116)/'Financial Statements'!G10</f>
        <v>8.2745998987578367E-2</v>
      </c>
      <c r="H117" s="281">
        <f>ABS('Financial Statements'!H116)/'Financial Statements'!H10</f>
        <v>6.4458312639011861E-2</v>
      </c>
      <c r="I117" s="282">
        <f>AVERAGE(C117:H117)</f>
        <v>7.2630759891082905E-2</v>
      </c>
      <c r="J117" s="274">
        <f>I117</f>
        <v>7.2630759891082905E-2</v>
      </c>
      <c r="K117" s="274">
        <f t="shared" si="71"/>
        <v>7.2630759891082905E-2</v>
      </c>
      <c r="L117" s="274">
        <f t="shared" si="71"/>
        <v>7.2630759891082905E-2</v>
      </c>
      <c r="M117" s="274">
        <f t="shared" si="71"/>
        <v>7.2630759891082905E-2</v>
      </c>
      <c r="N117" s="274">
        <f t="shared" si="71"/>
        <v>7.2630759891082905E-2</v>
      </c>
      <c r="O117" s="274">
        <f t="shared" si="71"/>
        <v>7.2630759891082905E-2</v>
      </c>
      <c r="P117" s="274">
        <f t="shared" si="71"/>
        <v>7.2630759891082905E-2</v>
      </c>
      <c r="Q117" s="274">
        <f t="shared" si="71"/>
        <v>7.2630759891082905E-2</v>
      </c>
    </row>
    <row r="118" spans="1:17" ht="12.75" customHeight="1">
      <c r="B118" s="114"/>
      <c r="C118" s="281"/>
      <c r="D118" s="281"/>
      <c r="E118" s="281"/>
      <c r="F118" s="281"/>
      <c r="G118" s="281"/>
      <c r="H118" s="281"/>
      <c r="I118" s="282"/>
      <c r="J118" s="274"/>
      <c r="K118" s="274"/>
      <c r="L118" s="274"/>
      <c r="M118" s="274"/>
      <c r="N118" s="274"/>
      <c r="O118" s="274"/>
      <c r="P118" s="274"/>
      <c r="Q118" s="274"/>
    </row>
    <row r="119" spans="1:17" ht="12.75" customHeight="1">
      <c r="A119" s="120"/>
      <c r="B119" s="32" t="s">
        <v>347</v>
      </c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</row>
    <row r="120" spans="1:17" ht="12.75" customHeight="1">
      <c r="B120" s="17" t="s">
        <v>348</v>
      </c>
      <c r="C120" s="307">
        <f>'Supporting Schedules'!C13/'Supporting Schedules'!C10</f>
        <v>0.62307836269817929</v>
      </c>
      <c r="D120" s="307">
        <f>'Supporting Schedules'!D13/'Supporting Schedules'!D10</f>
        <v>0.62914814315865109</v>
      </c>
      <c r="E120" s="307">
        <f>'Supporting Schedules'!E13/'Supporting Schedules'!E10</f>
        <v>0.62391350888460717</v>
      </c>
      <c r="F120" s="307">
        <f>'Supporting Schedules'!F13/'Supporting Schedules'!F10</f>
        <v>0.64695316008356596</v>
      </c>
      <c r="G120" s="307">
        <f>'Supporting Schedules'!G13/'Supporting Schedules'!G10</f>
        <v>0.65081188427241932</v>
      </c>
      <c r="H120" s="307">
        <f>'Supporting Schedules'!H13/'Supporting Schedules'!H10</f>
        <v>0.63724114103090113</v>
      </c>
      <c r="I120" s="282">
        <f>'Supporting Schedules'!I13/'Supporting Schedules'!I10</f>
        <v>0.64609164827125376</v>
      </c>
      <c r="J120" s="274">
        <f>'Supporting Schedules'!J13/'Supporting Schedules'!J10</f>
        <v>0.65032452914171013</v>
      </c>
      <c r="K120" s="274">
        <f>'Supporting Schedules'!K13/'Supporting Schedules'!K10</f>
        <v>0.65259947478242308</v>
      </c>
      <c r="L120" s="274">
        <f>'Supporting Schedules'!L13/'Supporting Schedules'!L10</f>
        <v>0.65650841055724518</v>
      </c>
      <c r="M120" s="274">
        <f>'Supporting Schedules'!M13/'Supporting Schedules'!M10</f>
        <v>0.65988823814133379</v>
      </c>
      <c r="N120" s="274">
        <f>'Supporting Schedules'!N13/'Supporting Schedules'!N10</f>
        <v>0.67171849401889283</v>
      </c>
      <c r="O120" s="274">
        <f>'Supporting Schedules'!O13/'Supporting Schedules'!O10</f>
        <v>0.67804591153321381</v>
      </c>
      <c r="P120" s="274">
        <f>'Supporting Schedules'!P13/'Supporting Schedules'!P10</f>
        <v>0.68543606543312008</v>
      </c>
      <c r="Q120" s="274">
        <f>'Supporting Schedules'!Q13/'Supporting Schedules'!Q10</f>
        <v>0.69393535350073265</v>
      </c>
    </row>
    <row r="121" spans="1:17" ht="12.75" customHeight="1">
      <c r="B121" s="17" t="s">
        <v>349</v>
      </c>
      <c r="C121" s="281">
        <f>'Financial Statements'!C15</f>
        <v>0.43421650669732376</v>
      </c>
      <c r="D121" s="281">
        <f>'Financial Statements'!D15</f>
        <v>0.44820153576721</v>
      </c>
      <c r="E121" s="281">
        <f>'Financial Statements'!E15</f>
        <v>0.45983729394134021</v>
      </c>
      <c r="F121" s="281">
        <f>'Financial Statements'!F15</f>
        <v>0.43524610969014194</v>
      </c>
      <c r="G121" s="281">
        <f>'Financial Statements'!G15</f>
        <v>0.44560180678322497</v>
      </c>
      <c r="H121" s="281">
        <f>'Financial Statements'!H15</f>
        <v>0.42734673605562634</v>
      </c>
      <c r="I121" s="282">
        <f>'Financial Statements'!I15</f>
        <v>0.42174166482247777</v>
      </c>
      <c r="J121" s="282">
        <f>'Financial Statements'!J15</f>
        <v>0.42674166482247783</v>
      </c>
      <c r="K121" s="282">
        <f>'Financial Statements'!K15</f>
        <v>0.43174166482247778</v>
      </c>
      <c r="L121" s="282">
        <f>'Financial Statements'!L15</f>
        <v>0.43674166482247778</v>
      </c>
      <c r="M121" s="282">
        <f>'Financial Statements'!M15</f>
        <v>0.44174166482247779</v>
      </c>
      <c r="N121" s="282">
        <f>'Financial Statements'!N15</f>
        <v>0.44174166482247784</v>
      </c>
      <c r="O121" s="282">
        <f>'Financial Statements'!O15</f>
        <v>0.44174166482247779</v>
      </c>
      <c r="P121" s="282">
        <f>'Financial Statements'!P15</f>
        <v>0.44174166482247784</v>
      </c>
      <c r="Q121" s="282">
        <f>'Financial Statements'!Q15</f>
        <v>0.44174166482247773</v>
      </c>
    </row>
    <row r="122" spans="1:17" ht="12.75" customHeight="1">
      <c r="B122" s="17" t="s">
        <v>350</v>
      </c>
      <c r="C122" s="307">
        <f>'Financial Statements'!C38</f>
        <v>6.7882255434056085E-2</v>
      </c>
      <c r="D122" s="307">
        <f>'Financial Statements'!D38</f>
        <v>0.12858682473393507</v>
      </c>
      <c r="E122" s="307">
        <f>'Financial Statements'!E38</f>
        <v>0.12943695140226932</v>
      </c>
      <c r="F122" s="307">
        <f>'Financial Statements'!F38</f>
        <v>9.8990569537458259E-2</v>
      </c>
      <c r="G122" s="307">
        <f>'Financial Statements'!G38</f>
        <v>0.11097698687745804</v>
      </c>
      <c r="H122" s="307">
        <f>'Financial Statements'!H38</f>
        <v>6.9511326092120324E-2</v>
      </c>
      <c r="I122" s="282">
        <f>'Financial Statements'!I38</f>
        <v>5.1699057814331775E-2</v>
      </c>
      <c r="J122" s="282">
        <f>'Financial Statements'!J38</f>
        <v>7.2492550764815686E-2</v>
      </c>
      <c r="K122" s="282">
        <f>'Financial Statements'!K38</f>
        <v>7.7161445805107837E-2</v>
      </c>
      <c r="L122" s="282">
        <f>'Financial Statements'!L38</f>
        <v>0.11415430902402636</v>
      </c>
      <c r="M122" s="282">
        <f>'Financial Statements'!M38</f>
        <v>0.11882720688619863</v>
      </c>
      <c r="N122" s="282">
        <f>'Financial Statements'!N38</f>
        <v>0.11946766034445427</v>
      </c>
      <c r="O122" s="282">
        <f>'Financial Statements'!O38</f>
        <v>0.11993529887144529</v>
      </c>
      <c r="P122" s="282">
        <f>'Financial Statements'!P38</f>
        <v>0.12025885982276689</v>
      </c>
      <c r="Q122" s="282">
        <f>'Financial Statements'!Q38</f>
        <v>0.12044898384886574</v>
      </c>
    </row>
    <row r="123" spans="1:17" ht="12.75" customHeight="1"/>
    <row r="124" spans="1:17" ht="12.75" customHeight="1">
      <c r="A124" s="120"/>
      <c r="B124" s="32" t="s">
        <v>351</v>
      </c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</row>
    <row r="125" spans="1:17" ht="12.75" customHeight="1"/>
    <row r="126" spans="1:17" ht="12.75" customHeight="1"/>
    <row r="127" spans="1:17" ht="12.75" customHeight="1"/>
    <row r="128" spans="1:17" ht="12.75" customHeight="1"/>
    <row r="129" spans="9:17" ht="12.75" customHeight="1"/>
    <row r="130" spans="9:17" ht="12.75" customHeight="1"/>
    <row r="131" spans="9:17" ht="12.75" customHeight="1"/>
    <row r="132" spans="9:17" ht="12.75" customHeight="1"/>
    <row r="133" spans="9:17" ht="12.75" customHeight="1"/>
    <row r="134" spans="9:17" ht="12.75" customHeight="1"/>
    <row r="135" spans="9:17" ht="12.75" customHeight="1"/>
    <row r="136" spans="9:17" ht="12.75" customHeight="1"/>
    <row r="137" spans="9:17" ht="12.75" customHeight="1">
      <c r="I137" s="250"/>
      <c r="J137" s="250"/>
      <c r="K137" s="250"/>
      <c r="L137" s="250"/>
      <c r="M137" s="250"/>
      <c r="N137" s="250"/>
      <c r="O137" s="250"/>
      <c r="P137" s="250"/>
      <c r="Q137" s="250"/>
    </row>
    <row r="138" spans="9:17" ht="12.75" customHeight="1"/>
    <row r="139" spans="9:17" ht="12.75" customHeight="1"/>
    <row r="140" spans="9:17" ht="12.75" customHeight="1"/>
    <row r="141" spans="9:17" ht="12.75" customHeight="1"/>
    <row r="142" spans="9:17" ht="12.75" customHeight="1"/>
    <row r="143" spans="9:17" ht="12.75" customHeight="1"/>
    <row r="144" spans="9:17" ht="12.75" customHeight="1"/>
    <row r="145" spans="1:17" ht="12.75" customHeight="1"/>
    <row r="146" spans="1:17" ht="12.75" customHeight="1"/>
    <row r="147" spans="1:17" ht="12.75" customHeight="1"/>
    <row r="148" spans="1:17" ht="12.75" customHeight="1"/>
    <row r="149" spans="1:17" ht="12.75" customHeight="1"/>
    <row r="150" spans="1:17" ht="12.75" customHeight="1"/>
    <row r="151" spans="1:17" ht="12.75" customHeight="1"/>
    <row r="152" spans="1:17" ht="12.75" customHeight="1">
      <c r="A152" s="120"/>
      <c r="B152" s="32" t="s">
        <v>395</v>
      </c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</row>
    <row r="153" spans="1:17" ht="12.75" customHeight="1"/>
    <row r="154" spans="1:17" ht="12.75" customHeight="1">
      <c r="B154" s="447" t="s">
        <v>362</v>
      </c>
      <c r="C154" s="448" t="s">
        <v>363</v>
      </c>
      <c r="D154"/>
      <c r="E154"/>
      <c r="F154"/>
      <c r="G154"/>
      <c r="H154"/>
      <c r="I154"/>
      <c r="J154"/>
      <c r="K154"/>
    </row>
    <row r="155" spans="1:17" ht="12.75" customHeight="1">
      <c r="B155" s="441" t="s">
        <v>369</v>
      </c>
      <c r="C155" s="442">
        <v>86</v>
      </c>
      <c r="D155"/>
      <c r="E155"/>
      <c r="F155"/>
      <c r="G155"/>
      <c r="H155"/>
      <c r="I155"/>
      <c r="J155"/>
      <c r="K155"/>
    </row>
    <row r="156" spans="1:17" ht="12.75" customHeight="1">
      <c r="B156" s="441" t="s">
        <v>370</v>
      </c>
      <c r="C156" s="442">
        <v>86</v>
      </c>
      <c r="D156"/>
      <c r="E156"/>
      <c r="F156"/>
      <c r="G156"/>
      <c r="H156"/>
      <c r="I156"/>
      <c r="J156"/>
      <c r="K156"/>
    </row>
    <row r="157" spans="1:17" ht="12.75" customHeight="1">
      <c r="B157" s="441" t="s">
        <v>371</v>
      </c>
      <c r="C157" s="442">
        <v>85</v>
      </c>
      <c r="D157"/>
      <c r="E157"/>
      <c r="F157"/>
      <c r="G157"/>
      <c r="H157"/>
      <c r="I157"/>
      <c r="J157"/>
      <c r="K157"/>
    </row>
    <row r="158" spans="1:17" ht="12.75" customHeight="1">
      <c r="B158" s="441" t="s">
        <v>372</v>
      </c>
      <c r="C158" s="442">
        <v>77</v>
      </c>
      <c r="D158"/>
      <c r="E158"/>
      <c r="F158"/>
      <c r="G158"/>
      <c r="H158"/>
      <c r="I158"/>
      <c r="J158"/>
      <c r="K158"/>
    </row>
    <row r="159" spans="1:17" ht="12.75" customHeight="1">
      <c r="B159" s="441" t="s">
        <v>373</v>
      </c>
      <c r="C159" s="442">
        <v>77</v>
      </c>
      <c r="D159"/>
      <c r="E159"/>
      <c r="F159"/>
      <c r="G159"/>
      <c r="H159"/>
      <c r="I159"/>
      <c r="J159"/>
      <c r="K159"/>
    </row>
    <row r="160" spans="1:17" ht="12.75" customHeight="1">
      <c r="B160" s="443" t="s">
        <v>375</v>
      </c>
      <c r="C160" s="444">
        <f>AVERAGE(C155:C159)</f>
        <v>82.2</v>
      </c>
      <c r="D160"/>
      <c r="E160"/>
      <c r="F160"/>
      <c r="G160"/>
      <c r="H160"/>
      <c r="I160"/>
      <c r="J160"/>
      <c r="K160"/>
    </row>
    <row r="161" spans="1:17" ht="12.75" customHeight="1">
      <c r="B161" s="445" t="s">
        <v>374</v>
      </c>
      <c r="C161" s="446">
        <f>'Supporting Schedules'!D179</f>
        <v>69.723037753470507</v>
      </c>
      <c r="D161"/>
      <c r="E161"/>
      <c r="F161"/>
      <c r="G161"/>
      <c r="H161"/>
      <c r="I161"/>
      <c r="J161"/>
      <c r="K161"/>
    </row>
    <row r="162" spans="1:17" ht="12.75" customHeight="1">
      <c r="B162"/>
      <c r="C162" s="440"/>
      <c r="D162"/>
      <c r="E162"/>
      <c r="F162"/>
      <c r="G162"/>
      <c r="H162"/>
      <c r="I162"/>
      <c r="J162"/>
      <c r="K162"/>
    </row>
    <row r="163" spans="1:17" ht="12.75" customHeight="1">
      <c r="B163"/>
      <c r="C163" s="440"/>
      <c r="D163"/>
      <c r="E163"/>
      <c r="F163"/>
      <c r="G163"/>
      <c r="H163"/>
      <c r="I163"/>
      <c r="J163"/>
      <c r="K163"/>
    </row>
    <row r="164" spans="1:17" ht="12.75" customHeight="1">
      <c r="B164"/>
      <c r="C164" s="440"/>
      <c r="D164"/>
      <c r="E164"/>
      <c r="F164"/>
      <c r="G164"/>
      <c r="H164"/>
      <c r="I164"/>
      <c r="J164"/>
      <c r="K164"/>
    </row>
    <row r="165" spans="1:17" ht="12.75" customHeight="1">
      <c r="B165"/>
      <c r="C165" s="440"/>
      <c r="D165"/>
      <c r="E165"/>
      <c r="F165"/>
      <c r="G165"/>
      <c r="H165"/>
      <c r="I165"/>
      <c r="J165"/>
      <c r="K165"/>
    </row>
    <row r="166" spans="1:17" ht="12.75" customHeight="1">
      <c r="B166"/>
      <c r="C166" s="440"/>
      <c r="D166"/>
      <c r="E166"/>
      <c r="F166"/>
      <c r="G166"/>
      <c r="H166"/>
      <c r="I166"/>
      <c r="J166"/>
      <c r="K166"/>
    </row>
    <row r="167" spans="1:17" ht="12.75" customHeight="1">
      <c r="B167"/>
      <c r="C167" s="440"/>
      <c r="D167"/>
      <c r="E167"/>
      <c r="F167"/>
      <c r="G167"/>
      <c r="H167"/>
      <c r="I167"/>
      <c r="J167"/>
      <c r="K167"/>
    </row>
    <row r="168" spans="1:17" ht="12.75" customHeight="1">
      <c r="B168"/>
      <c r="C168" s="440"/>
      <c r="D168"/>
      <c r="E168"/>
      <c r="F168"/>
      <c r="G168"/>
      <c r="H168"/>
      <c r="I168"/>
      <c r="J168"/>
      <c r="K168"/>
    </row>
    <row r="169" spans="1:17" ht="12.75" customHeight="1"/>
    <row r="170" spans="1:17" ht="12.75" customHeight="1">
      <c r="A170" s="120"/>
      <c r="B170" s="32" t="s">
        <v>396</v>
      </c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</row>
    <row r="171" spans="1:17" ht="12.75" customHeight="1"/>
    <row r="172" spans="1:17" ht="12.75" customHeight="1">
      <c r="B172" s="414" t="s">
        <v>352</v>
      </c>
      <c r="C172" s="415" t="s">
        <v>353</v>
      </c>
      <c r="D172" s="416" t="s">
        <v>354</v>
      </c>
      <c r="E172" s="416" t="s">
        <v>277</v>
      </c>
      <c r="F172"/>
      <c r="G172"/>
      <c r="H172"/>
      <c r="I172"/>
      <c r="J172"/>
      <c r="K172"/>
      <c r="L172"/>
      <c r="M172"/>
    </row>
    <row r="173" spans="1:17" ht="12.75" customHeight="1">
      <c r="B173" s="411" t="s">
        <v>355</v>
      </c>
      <c r="C173" s="412">
        <v>0.4</v>
      </c>
      <c r="D173" s="490">
        <f>'DCF Valuation'!D57</f>
        <v>66.753479828800465</v>
      </c>
      <c r="E173" s="493">
        <f>D173/$D$180-1</f>
        <v>0.11255799714667436</v>
      </c>
      <c r="F173"/>
      <c r="G173"/>
      <c r="H173"/>
      <c r="I173"/>
      <c r="J173"/>
      <c r="K173"/>
      <c r="L173"/>
      <c r="M173"/>
    </row>
    <row r="174" spans="1:17" ht="12.75" customHeight="1">
      <c r="B174" s="411" t="s">
        <v>356</v>
      </c>
      <c r="C174" s="412">
        <v>0.1</v>
      </c>
      <c r="D174" s="490">
        <f>'Comparables '!L56</f>
        <v>50.832806273905831</v>
      </c>
      <c r="E174" s="493">
        <f>D174/$D$180-1</f>
        <v>-0.15278656210156949</v>
      </c>
      <c r="F174"/>
      <c r="G174"/>
      <c r="H174"/>
      <c r="I174"/>
      <c r="J174"/>
      <c r="K174"/>
      <c r="L174"/>
      <c r="M174"/>
    </row>
    <row r="175" spans="1:17" ht="12.75" customHeight="1">
      <c r="B175" s="411" t="s">
        <v>357</v>
      </c>
      <c r="C175" s="412">
        <v>0.1</v>
      </c>
      <c r="D175" s="490">
        <f>'Comparables '!L50</f>
        <v>42.795287445337237</v>
      </c>
      <c r="E175" s="493">
        <f>D175/$D$180-1</f>
        <v>-0.28674520924437941</v>
      </c>
      <c r="F175"/>
      <c r="G175"/>
      <c r="H175"/>
      <c r="I175"/>
      <c r="J175"/>
      <c r="K175"/>
      <c r="L175"/>
      <c r="M175"/>
    </row>
    <row r="176" spans="1:17" ht="12.75" customHeight="1">
      <c r="B176" s="411" t="s">
        <v>389</v>
      </c>
      <c r="C176" s="412">
        <v>0.1</v>
      </c>
      <c r="D176" s="490">
        <f>Precedents!C56</f>
        <v>93.133279754497451</v>
      </c>
      <c r="E176" s="493">
        <f>D176/$D$180-1</f>
        <v>0.55222132924162426</v>
      </c>
      <c r="F176"/>
      <c r="G176"/>
      <c r="H176"/>
      <c r="I176"/>
      <c r="J176"/>
      <c r="K176"/>
      <c r="L176"/>
      <c r="M176"/>
    </row>
    <row r="177" spans="2:13" ht="12.75" customHeight="1">
      <c r="B177" s="411" t="s">
        <v>390</v>
      </c>
      <c r="C177" s="412">
        <v>0.1</v>
      </c>
      <c r="D177" s="490">
        <f>Precedents!E56</f>
        <v>79.055084745762727</v>
      </c>
      <c r="E177" s="493">
        <f>D177/$D$180-1</f>
        <v>0.31758474576271212</v>
      </c>
      <c r="F177"/>
      <c r="G177"/>
      <c r="H177"/>
      <c r="I177"/>
      <c r="J177"/>
      <c r="K177"/>
      <c r="L177"/>
      <c r="M177"/>
    </row>
    <row r="178" spans="2:13" ht="12.75" customHeight="1">
      <c r="B178" s="411" t="s">
        <v>358</v>
      </c>
      <c r="C178" s="412">
        <v>0.2</v>
      </c>
      <c r="D178" s="490">
        <f>'Supporting Schedules'!C160</f>
        <v>82.2</v>
      </c>
      <c r="E178" s="493">
        <f>D178/$D$180-1</f>
        <v>0.37000000000000011</v>
      </c>
      <c r="F178"/>
      <c r="G178"/>
      <c r="H178"/>
      <c r="I178"/>
      <c r="J178"/>
      <c r="K178"/>
      <c r="L178"/>
      <c r="M178"/>
    </row>
    <row r="179" spans="2:13" ht="12.75" customHeight="1">
      <c r="B179" s="417" t="s">
        <v>359</v>
      </c>
      <c r="C179" s="418"/>
      <c r="D179" s="491">
        <f>SUMPRODUCT(D173:D178,C173:C178)</f>
        <v>69.723037753470507</v>
      </c>
      <c r="E179" s="494">
        <f>D179/$D$180-1</f>
        <v>0.16205062922450852</v>
      </c>
      <c r="F179"/>
      <c r="G179"/>
      <c r="H179"/>
      <c r="I179"/>
      <c r="J179"/>
      <c r="K179"/>
      <c r="L179"/>
      <c r="M179"/>
    </row>
    <row r="180" spans="2:13" ht="12.75" customHeight="1">
      <c r="B180" s="411" t="s">
        <v>276</v>
      </c>
      <c r="C180" s="410"/>
      <c r="D180" s="490">
        <f>currentprice</f>
        <v>60</v>
      </c>
      <c r="E180" s="493">
        <f>D180/$D$180-1</f>
        <v>0</v>
      </c>
      <c r="F180"/>
      <c r="G180"/>
      <c r="H180"/>
      <c r="I180"/>
      <c r="J180"/>
      <c r="K180"/>
      <c r="L180"/>
      <c r="M180"/>
    </row>
    <row r="181" spans="2:13" ht="12.75" customHeight="1">
      <c r="B181" s="419" t="s">
        <v>277</v>
      </c>
      <c r="C181" s="420"/>
      <c r="D181" s="476">
        <f>D179/D180-1</f>
        <v>0.16205062922450852</v>
      </c>
      <c r="E181" s="476"/>
      <c r="F181"/>
      <c r="G181"/>
      <c r="H181"/>
      <c r="I181"/>
      <c r="J181"/>
      <c r="K181"/>
      <c r="L181"/>
      <c r="M181"/>
    </row>
    <row r="182" spans="2:13" ht="12.75" customHeight="1">
      <c r="B182" s="410"/>
      <c r="C182" s="410"/>
      <c r="D182" s="410"/>
      <c r="E182" s="410"/>
      <c r="F182"/>
      <c r="G182"/>
      <c r="H182"/>
      <c r="I182"/>
      <c r="J182"/>
      <c r="K182"/>
      <c r="L182"/>
      <c r="M182"/>
    </row>
    <row r="183" spans="2:13" ht="12.75" customHeight="1">
      <c r="B183" s="420"/>
      <c r="C183" s="421" t="s">
        <v>360</v>
      </c>
      <c r="D183" s="421" t="s">
        <v>196</v>
      </c>
      <c r="E183" s="422" t="s">
        <v>361</v>
      </c>
      <c r="F183"/>
      <c r="G183"/>
      <c r="H183"/>
      <c r="I183"/>
      <c r="J183"/>
      <c r="K183"/>
      <c r="L183"/>
      <c r="M183"/>
    </row>
    <row r="184" spans="2:13" ht="12.75" customHeight="1">
      <c r="B184" s="417" t="s">
        <v>355</v>
      </c>
      <c r="C184" s="423">
        <f>'DCF Valuation'!I49</f>
        <v>57.813736546974255</v>
      </c>
      <c r="D184" s="423">
        <f>E184-C184</f>
        <v>21.356502113590366</v>
      </c>
      <c r="E184" s="413">
        <f>'DCF Valuation'!M53</f>
        <v>79.170238660564621</v>
      </c>
      <c r="F184"/>
      <c r="G184"/>
      <c r="H184"/>
      <c r="I184"/>
      <c r="J184"/>
      <c r="K184"/>
      <c r="L184"/>
      <c r="M184"/>
    </row>
    <row r="185" spans="2:13" ht="12.75" customHeight="1">
      <c r="B185" s="417" t="s">
        <v>356</v>
      </c>
      <c r="C185" s="423">
        <f>'Comparables '!J44</f>
        <v>29.981538461538459</v>
      </c>
      <c r="D185" s="423">
        <f>E185-C185</f>
        <v>26.260147631152297</v>
      </c>
      <c r="E185" s="413">
        <f>'Comparables '!L44</f>
        <v>56.241686092690756</v>
      </c>
      <c r="F185"/>
      <c r="G185"/>
      <c r="H185"/>
      <c r="I185"/>
      <c r="J185"/>
      <c r="K185"/>
      <c r="L185"/>
      <c r="M185"/>
    </row>
    <row r="186" spans="2:13" ht="12.75" customHeight="1">
      <c r="B186" s="417" t="s">
        <v>357</v>
      </c>
      <c r="C186" s="423">
        <f>'Comparables '!J38</f>
        <v>20.578250696995088</v>
      </c>
      <c r="D186" s="423">
        <f>E186-C186</f>
        <v>27.566103775405129</v>
      </c>
      <c r="E186" s="413">
        <f>'Comparables '!L38</f>
        <v>48.144354472400217</v>
      </c>
      <c r="F186"/>
      <c r="G186"/>
      <c r="H186"/>
      <c r="I186"/>
      <c r="J186"/>
      <c r="K186"/>
      <c r="L186"/>
      <c r="M186"/>
    </row>
    <row r="187" spans="2:13" ht="12.75" customHeight="1">
      <c r="B187" s="417" t="s">
        <v>389</v>
      </c>
      <c r="C187" s="423">
        <f>Precedents!E42</f>
        <v>7.1014370239542242</v>
      </c>
      <c r="D187" s="423">
        <f>E187-C187</f>
        <v>127.89764910972661</v>
      </c>
      <c r="E187" s="413">
        <f>Precedents!E47</f>
        <v>134.99908613368083</v>
      </c>
      <c r="F187"/>
      <c r="G187"/>
      <c r="H187"/>
      <c r="I187"/>
      <c r="J187"/>
      <c r="K187"/>
      <c r="L187"/>
      <c r="M187"/>
    </row>
    <row r="188" spans="2:13" ht="12.75" customHeight="1">
      <c r="B188" s="417" t="s">
        <v>390</v>
      </c>
      <c r="C188" s="423">
        <f>Precedents!G42</f>
        <v>32.71153846153846</v>
      </c>
      <c r="D188" s="423">
        <f>E188-C188</f>
        <v>48.28846153846154</v>
      </c>
      <c r="E188" s="413">
        <f>Precedents!G47</f>
        <v>81</v>
      </c>
      <c r="F188"/>
      <c r="G188"/>
      <c r="H188"/>
      <c r="I188"/>
      <c r="J188"/>
      <c r="K188"/>
      <c r="L188"/>
      <c r="M188"/>
    </row>
    <row r="189" spans="2:13" ht="12.75" customHeight="1">
      <c r="B189" s="424" t="s">
        <v>358</v>
      </c>
      <c r="C189" s="425">
        <f>'Supporting Schedules'!C159</f>
        <v>77</v>
      </c>
      <c r="D189" s="425">
        <f>E189-C189</f>
        <v>9</v>
      </c>
      <c r="E189" s="426">
        <f>'Supporting Schedules'!C155</f>
        <v>86</v>
      </c>
      <c r="F189"/>
      <c r="G189"/>
      <c r="H189"/>
      <c r="I189"/>
      <c r="J189"/>
      <c r="K189"/>
      <c r="L189"/>
      <c r="M189"/>
    </row>
    <row r="190" spans="2:13" ht="12.75" customHeight="1"/>
    <row r="191" spans="2:13" ht="12.75" customHeight="1"/>
    <row r="192" spans="2:13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57" ht="12.75" customHeight="1"/>
    <row r="258" ht="12.75" customHeight="1"/>
    <row r="267" ht="12.75" customHeight="1"/>
  </sheetData>
  <conditionalFormatting sqref="C44:Q48">
    <cfRule type="cellIs" dxfId="9" priority="1" operator="lessThan">
      <formula>0</formula>
    </cfRule>
    <cfRule type="cellIs" dxfId="8" priority="2" operator="greaterThan">
      <formula>0</formula>
    </cfRule>
    <cfRule type="colorScale" priority="3">
      <colorScale>
        <cfvo type="num" val="&quot;&lt;0&quot;"/>
        <cfvo type="num" val="&quot;&gt;0&quot;"/>
        <color rgb="FFC00000"/>
        <color theme="9" tint="-0.499984740745262"/>
      </colorScale>
    </cfRule>
  </conditionalFormatting>
  <conditionalFormatting sqref="C7:Q7 C49:Q49 C101:Q106">
    <cfRule type="cellIs" dxfId="7" priority="12" stopIfTrue="1" operator="equal">
      <formula>#REF!</formula>
    </cfRule>
  </conditionalFormatting>
  <pageMargins left="0.7" right="0.7" top="0.75" bottom="0.75" header="0.3" footer="0.3"/>
  <pageSetup orientation="portrait" horizontalDpi="200" verticalDpi="200" r:id="rId1"/>
  <ignoredErrors>
    <ignoredError sqref="L65" formula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0803-375C-44C5-B291-7D4AF12F3D6C}">
  <sheetPr>
    <tabColor rgb="FFA4C298"/>
  </sheetPr>
  <dimension ref="A1:X1048576"/>
  <sheetViews>
    <sheetView showGridLines="0" topLeftCell="A36" zoomScale="84" zoomScaleNormal="101" workbookViewId="0">
      <pane xSplit="2" topLeftCell="J1" activePane="topRight" state="frozen"/>
      <selection activeCell="A21" sqref="A21"/>
      <selection pane="topRight" activeCell="C7" sqref="C7"/>
    </sheetView>
  </sheetViews>
  <sheetFormatPr defaultColWidth="0" defaultRowHeight="13.2" zeroHeight="1" outlineLevelCol="1"/>
  <cols>
    <col min="1" max="1" width="2.5" style="17" customWidth="1"/>
    <col min="2" max="2" width="36.5" style="17" customWidth="1"/>
    <col min="3" max="4" width="18.19921875" style="17" customWidth="1"/>
    <col min="5" max="13" width="18.19921875" style="17" customWidth="1" outlineLevel="1"/>
    <col min="14" max="21" width="18.19921875" style="17" customWidth="1"/>
    <col min="22" max="23" width="5" style="17" customWidth="1"/>
    <col min="24" max="24" width="0" style="17" hidden="1" customWidth="1"/>
    <col min="25" max="16384" width="8.69921875" style="17" hidden="1"/>
  </cols>
  <sheetData>
    <row r="1" spans="1:22" s="33" customFormat="1" ht="17.399999999999999">
      <c r="B1" s="32" t="s">
        <v>6</v>
      </c>
      <c r="R1" s="34"/>
      <c r="S1" s="34"/>
      <c r="T1" s="34"/>
      <c r="U1" s="34"/>
    </row>
    <row r="2" spans="1:22" s="33" customFormat="1" ht="17.399999999999999">
      <c r="B2" s="32" t="str">
        <f>company</f>
        <v>Nike Inc</v>
      </c>
      <c r="R2" s="34"/>
      <c r="S2" s="34"/>
      <c r="T2" s="34"/>
      <c r="U2" s="34"/>
    </row>
    <row r="3" spans="1:22" s="33" customFormat="1" ht="17.399999999999999">
      <c r="B3" s="32" t="s">
        <v>11</v>
      </c>
      <c r="R3" s="34"/>
      <c r="S3" s="34"/>
      <c r="T3" s="34"/>
      <c r="U3" s="34"/>
    </row>
    <row r="4" spans="1:22" s="33" customFormat="1" ht="17.399999999999999">
      <c r="B4" s="32" t="s">
        <v>278</v>
      </c>
      <c r="C4" s="35"/>
      <c r="D4" s="35"/>
      <c r="E4" s="35"/>
      <c r="F4" s="35"/>
      <c r="R4" s="34"/>
      <c r="S4" s="34"/>
      <c r="T4" s="34"/>
      <c r="U4" s="34"/>
    </row>
    <row r="5" spans="1:22" ht="15.75" customHeight="1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9"/>
      <c r="T5" s="119"/>
      <c r="U5" s="119"/>
    </row>
    <row r="6" spans="1:22">
      <c r="B6" s="17" t="s">
        <v>279</v>
      </c>
      <c r="C6" s="478">
        <f>Precedents!C8</f>
        <v>60</v>
      </c>
      <c r="D6" s="170"/>
    </row>
    <row r="7" spans="1:22">
      <c r="B7" s="17" t="s">
        <v>280</v>
      </c>
      <c r="C7" s="225">
        <v>1478.2</v>
      </c>
      <c r="D7" s="171"/>
    </row>
    <row r="8" spans="1:22">
      <c r="B8" s="17" t="s">
        <v>281</v>
      </c>
      <c r="C8" s="225">
        <f>dilutedshares*C6</f>
        <v>88692</v>
      </c>
      <c r="D8" s="170"/>
    </row>
    <row r="9" spans="1:22">
      <c r="B9" s="17" t="s">
        <v>282</v>
      </c>
      <c r="C9" s="225">
        <f>ABS(('DCF Valuation'!D52+'DCF Valuation'!D53))</f>
        <v>3554</v>
      </c>
      <c r="D9" s="170"/>
    </row>
    <row r="10" spans="1:22">
      <c r="B10" s="17" t="s">
        <v>283</v>
      </c>
      <c r="C10" s="225">
        <f>SUM(C8:C9)</f>
        <v>92246</v>
      </c>
      <c r="D10" s="170"/>
      <c r="E10" s="376"/>
    </row>
    <row r="11" spans="1:22">
      <c r="D11" s="172"/>
    </row>
    <row r="12" spans="1:22">
      <c r="D12" s="172"/>
    </row>
    <row r="13" spans="1:22" s="168" customFormat="1">
      <c r="B13" s="32" t="s">
        <v>284</v>
      </c>
      <c r="C13" s="169"/>
      <c r="D13" s="169"/>
      <c r="E13" s="169"/>
      <c r="F13" s="169"/>
    </row>
    <row r="14" spans="1:22"/>
    <row r="15" spans="1:22" s="173" customFormat="1" ht="17.25" customHeight="1">
      <c r="B15" s="192" t="s">
        <v>285</v>
      </c>
      <c r="H15" s="174" t="s">
        <v>111</v>
      </c>
      <c r="I15" s="175"/>
      <c r="J15" s="375"/>
      <c r="K15" s="175" t="s">
        <v>163</v>
      </c>
      <c r="L15" s="374"/>
      <c r="M15" s="375"/>
      <c r="N15" s="374" t="s">
        <v>286</v>
      </c>
      <c r="O15" s="374"/>
      <c r="P15" s="374"/>
      <c r="Q15" s="512" t="s">
        <v>287</v>
      </c>
      <c r="R15" s="513"/>
      <c r="S15" s="513"/>
      <c r="T15"/>
      <c r="U15"/>
      <c r="V15" s="373"/>
    </row>
    <row r="16" spans="1:22" s="178" customFormat="1" ht="17.25" customHeight="1" thickBot="1">
      <c r="B16" s="191" t="s">
        <v>288</v>
      </c>
      <c r="C16" s="372" t="s">
        <v>289</v>
      </c>
      <c r="D16" s="176" t="s">
        <v>2</v>
      </c>
      <c r="E16" s="176" t="s">
        <v>290</v>
      </c>
      <c r="F16" s="176" t="s">
        <v>291</v>
      </c>
      <c r="G16" s="176" t="s">
        <v>283</v>
      </c>
      <c r="H16" s="371" t="s">
        <v>292</v>
      </c>
      <c r="I16" s="177" t="s">
        <v>293</v>
      </c>
      <c r="J16" s="370" t="s">
        <v>294</v>
      </c>
      <c r="K16" s="371" t="s">
        <v>292</v>
      </c>
      <c r="L16" s="177" t="s">
        <v>293</v>
      </c>
      <c r="M16" s="370" t="s">
        <v>294</v>
      </c>
      <c r="N16" s="371" t="s">
        <v>292</v>
      </c>
      <c r="O16" s="177" t="s">
        <v>293</v>
      </c>
      <c r="P16" s="370" t="s">
        <v>294</v>
      </c>
      <c r="Q16" s="371" t="s">
        <v>292</v>
      </c>
      <c r="R16" s="177" t="s">
        <v>293</v>
      </c>
      <c r="S16" s="370" t="s">
        <v>294</v>
      </c>
      <c r="T16" s="220"/>
      <c r="U16" s="220"/>
    </row>
    <row r="17" spans="2:22" s="173" customFormat="1" ht="17.25" customHeight="1">
      <c r="B17" s="181" t="s">
        <v>295</v>
      </c>
      <c r="C17" s="369">
        <v>46022</v>
      </c>
      <c r="D17" s="368" t="s">
        <v>296</v>
      </c>
      <c r="E17" s="367">
        <v>193.31</v>
      </c>
      <c r="F17" s="182">
        <f>E17*178.5</f>
        <v>34505.834999999999</v>
      </c>
      <c r="G17" s="182">
        <f>F17-1206+6359+446</f>
        <v>40104.834999999999</v>
      </c>
      <c r="H17" s="182">
        <v>2170.5</v>
      </c>
      <c r="I17" s="182">
        <v>3362</v>
      </c>
      <c r="J17" s="182">
        <v>4964</v>
      </c>
      <c r="K17" s="182">
        <v>895</v>
      </c>
      <c r="L17" s="182">
        <v>1435</v>
      </c>
      <c r="M17" s="182">
        <f>178.5*11.51</f>
        <v>2054.5349999999999</v>
      </c>
      <c r="N17" s="366">
        <f t="shared" ref="N17:P22" si="0">IFERROR($G17/H17,"")</f>
        <v>18.477233356369499</v>
      </c>
      <c r="O17" s="366">
        <f t="shared" si="0"/>
        <v>11.928862284354551</v>
      </c>
      <c r="P17" s="366">
        <f t="shared" si="0"/>
        <v>8.0791367848509257</v>
      </c>
      <c r="Q17" s="366">
        <f t="shared" ref="Q17:S20" si="1">IFERROR($F17/K17,"")</f>
        <v>38.554005586592176</v>
      </c>
      <c r="R17" s="366">
        <f t="shared" si="1"/>
        <v>24.045878048780487</v>
      </c>
      <c r="S17" s="366">
        <f t="shared" si="1"/>
        <v>16.794960903562121</v>
      </c>
      <c r="T17" s="355"/>
      <c r="U17" s="355"/>
    </row>
    <row r="18" spans="2:22" s="173" customFormat="1" ht="17.25" customHeight="1">
      <c r="B18" s="183" t="s">
        <v>297</v>
      </c>
      <c r="C18" s="344">
        <v>46022</v>
      </c>
      <c r="D18" s="184" t="s">
        <v>298</v>
      </c>
      <c r="E18" s="185">
        <v>48.57</v>
      </c>
      <c r="F18" s="186">
        <f>E18*326.5</f>
        <v>15858.105</v>
      </c>
      <c r="G18" s="186">
        <f>F18-1101+626</f>
        <v>15383.105</v>
      </c>
      <c r="H18" s="186">
        <v>274.60000000000002</v>
      </c>
      <c r="I18" s="186">
        <v>690.8</v>
      </c>
      <c r="J18" s="186">
        <v>865.7</v>
      </c>
      <c r="K18" s="186">
        <v>267.39999999999998</v>
      </c>
      <c r="L18" s="186">
        <v>296.37</v>
      </c>
      <c r="M18" s="186">
        <v>541.37</v>
      </c>
      <c r="N18" s="340">
        <f t="shared" si="0"/>
        <v>56.020047341587755</v>
      </c>
      <c r="O18" s="340">
        <f t="shared" si="0"/>
        <v>22.268536479444123</v>
      </c>
      <c r="P18" s="340">
        <f t="shared" si="0"/>
        <v>17.769556428323899</v>
      </c>
      <c r="Q18" s="340">
        <f t="shared" si="1"/>
        <v>59.304805534779362</v>
      </c>
      <c r="R18" s="340">
        <f t="shared" si="1"/>
        <v>53.507794311165092</v>
      </c>
      <c r="S18" s="340">
        <f t="shared" si="1"/>
        <v>29.292544839943105</v>
      </c>
      <c r="T18" s="355"/>
      <c r="U18" s="355"/>
    </row>
    <row r="19" spans="2:22" s="173" customFormat="1" ht="17.25" customHeight="1">
      <c r="B19" s="183" t="s">
        <v>299</v>
      </c>
      <c r="C19" s="344">
        <v>45747</v>
      </c>
      <c r="D19" s="184" t="s">
        <v>300</v>
      </c>
      <c r="E19" s="185">
        <v>99.47</v>
      </c>
      <c r="F19" s="186">
        <f>E19*145.7</f>
        <v>14492.778999999999</v>
      </c>
      <c r="G19" s="186">
        <f>F19-1415+350.7</f>
        <v>13428.478999999999</v>
      </c>
      <c r="H19" s="186">
        <v>994.3</v>
      </c>
      <c r="I19" s="186">
        <v>1312</v>
      </c>
      <c r="J19" s="186">
        <v>1215</v>
      </c>
      <c r="K19" s="186">
        <v>759.6</v>
      </c>
      <c r="L19" s="186">
        <v>1016</v>
      </c>
      <c r="M19" s="186">
        <f>6.37*145.7</f>
        <v>928.10899999999992</v>
      </c>
      <c r="N19" s="340">
        <f t="shared" si="0"/>
        <v>13.505460122699386</v>
      </c>
      <c r="O19" s="340">
        <f t="shared" si="0"/>
        <v>10.23512118902439</v>
      </c>
      <c r="P19" s="340">
        <f t="shared" si="0"/>
        <v>11.052246090534979</v>
      </c>
      <c r="Q19" s="340">
        <f t="shared" si="1"/>
        <v>19.079487888362294</v>
      </c>
      <c r="R19" s="340">
        <f t="shared" si="1"/>
        <v>14.264546259842518</v>
      </c>
      <c r="S19" s="340">
        <f t="shared" si="1"/>
        <v>15.615384615384615</v>
      </c>
      <c r="T19" s="355"/>
      <c r="U19" s="355"/>
    </row>
    <row r="20" spans="2:22" s="173" customFormat="1" ht="17.25" customHeight="1">
      <c r="B20" s="183" t="s">
        <v>301</v>
      </c>
      <c r="C20" s="344">
        <v>46022</v>
      </c>
      <c r="D20" s="184" t="s">
        <v>302</v>
      </c>
      <c r="E20" s="185">
        <v>24.3</v>
      </c>
      <c r="F20" s="186">
        <f>E20*716.7</f>
        <v>17415.810000000001</v>
      </c>
      <c r="G20" s="186">
        <f>F20-791.25+701.66+10</f>
        <v>17336.22</v>
      </c>
      <c r="H20" s="186">
        <v>770.26</v>
      </c>
      <c r="I20" s="186">
        <v>1041</v>
      </c>
      <c r="J20" s="186">
        <v>1192</v>
      </c>
      <c r="K20" s="186">
        <v>405</v>
      </c>
      <c r="L20" s="186">
        <v>587</v>
      </c>
      <c r="M20" s="186">
        <v>682</v>
      </c>
      <c r="N20" s="340">
        <f t="shared" si="0"/>
        <v>22.506971671902996</v>
      </c>
      <c r="O20" s="340">
        <f t="shared" si="0"/>
        <v>16.653429394812679</v>
      </c>
      <c r="P20" s="340">
        <f t="shared" si="0"/>
        <v>14.543808724832216</v>
      </c>
      <c r="Q20" s="340">
        <f t="shared" si="1"/>
        <v>43.002000000000002</v>
      </c>
      <c r="R20" s="340">
        <f t="shared" si="1"/>
        <v>29.669182282793869</v>
      </c>
      <c r="S20" s="340">
        <f t="shared" si="1"/>
        <v>25.536378299120237</v>
      </c>
      <c r="T20" s="355"/>
      <c r="U20" s="355"/>
    </row>
    <row r="21" spans="2:22" s="173" customFormat="1" ht="17.25" customHeight="1">
      <c r="B21" s="365" t="s">
        <v>303</v>
      </c>
      <c r="C21" s="364">
        <v>45747</v>
      </c>
      <c r="D21" s="363" t="s">
        <v>304</v>
      </c>
      <c r="E21" s="362">
        <v>4.3</v>
      </c>
      <c r="F21" s="361">
        <f>E21*424</f>
        <v>1823.1999999999998</v>
      </c>
      <c r="G21" s="361">
        <f>F21-396+1900</f>
        <v>3327.2</v>
      </c>
      <c r="H21" s="361">
        <v>379</v>
      </c>
      <c r="I21" s="361">
        <v>338</v>
      </c>
      <c r="J21" s="361">
        <v>218</v>
      </c>
      <c r="K21" s="361">
        <v>0</v>
      </c>
      <c r="L21" s="361">
        <v>0</v>
      </c>
      <c r="M21" s="361">
        <v>0</v>
      </c>
      <c r="N21" s="360">
        <f t="shared" si="0"/>
        <v>8.7788918205804745</v>
      </c>
      <c r="O21" s="360">
        <f t="shared" si="0"/>
        <v>9.8437869822485204</v>
      </c>
      <c r="P21" s="360">
        <f t="shared" si="0"/>
        <v>15.262385321100917</v>
      </c>
      <c r="Q21" s="360" t="s">
        <v>366</v>
      </c>
      <c r="R21" s="360" t="s">
        <v>366</v>
      </c>
      <c r="S21" s="360" t="s">
        <v>366</v>
      </c>
      <c r="T21" s="355"/>
      <c r="U21" s="355"/>
    </row>
    <row r="22" spans="2:22" s="173" customFormat="1" ht="17.25" customHeight="1">
      <c r="B22" s="359" t="s">
        <v>305</v>
      </c>
      <c r="C22" s="358">
        <v>46022</v>
      </c>
      <c r="D22" s="357" t="s">
        <v>306</v>
      </c>
      <c r="E22" s="356">
        <v>26.2</v>
      </c>
      <c r="F22" s="222">
        <f>145*E22</f>
        <v>3799</v>
      </c>
      <c r="G22" s="222">
        <f>F22-310+3178</f>
        <v>6667</v>
      </c>
      <c r="H22" s="222">
        <v>902</v>
      </c>
      <c r="I22" s="222">
        <v>330</v>
      </c>
      <c r="J22" s="222">
        <v>508</v>
      </c>
      <c r="K22" s="222">
        <v>0</v>
      </c>
      <c r="L22" s="222">
        <v>0</v>
      </c>
      <c r="M22" s="222">
        <v>0</v>
      </c>
      <c r="N22" s="355">
        <f t="shared" si="0"/>
        <v>7.3913525498891355</v>
      </c>
      <c r="O22" s="355">
        <f t="shared" si="0"/>
        <v>20.203030303030303</v>
      </c>
      <c r="P22" s="355">
        <f t="shared" si="0"/>
        <v>13.124015748031496</v>
      </c>
      <c r="Q22" s="438" t="s">
        <v>366</v>
      </c>
      <c r="R22" s="438" t="s">
        <v>366</v>
      </c>
      <c r="S22" s="438" t="s">
        <v>366</v>
      </c>
      <c r="T22" s="438"/>
      <c r="U22" s="438"/>
    </row>
    <row r="23" spans="2:22" ht="17.25" customHeight="1"/>
    <row r="24" spans="2:22" ht="17.25" customHeight="1">
      <c r="B24" s="196" t="s">
        <v>307</v>
      </c>
      <c r="C24" s="197"/>
      <c r="D24" s="197"/>
      <c r="E24" s="197"/>
      <c r="F24" s="197"/>
      <c r="G24" s="354"/>
      <c r="H24" s="354"/>
      <c r="I24" s="354"/>
      <c r="J24" s="354"/>
      <c r="K24" s="354"/>
      <c r="L24" s="354"/>
      <c r="M24" s="354"/>
      <c r="N24" s="204">
        <f>IFERROR(MIN(N$17:N22),"")</f>
        <v>7.3913525498891355</v>
      </c>
      <c r="O24" s="204">
        <f>IFERROR(MIN(O$17:O22),"")</f>
        <v>9.8437869822485204</v>
      </c>
      <c r="P24" s="204">
        <f>IFERROR(MIN(P$17:P22),"")</f>
        <v>8.0791367848509257</v>
      </c>
      <c r="Q24" s="204">
        <f>IFERROR(MIN(Q$17:Q20),"")</f>
        <v>19.079487888362294</v>
      </c>
      <c r="R24" s="204">
        <f>IFERROR(MIN(R$17:R20),"")</f>
        <v>14.264546259842518</v>
      </c>
      <c r="S24" s="198">
        <f>IFERROR(MIN(S$17:S20),"")</f>
        <v>15.615384615384615</v>
      </c>
      <c r="T24" s="205"/>
      <c r="U24" s="205"/>
    </row>
    <row r="25" spans="2:22" ht="17.25" customHeight="1">
      <c r="B25" s="353" t="s">
        <v>308</v>
      </c>
      <c r="C25" s="352"/>
      <c r="D25" s="352"/>
      <c r="E25" s="352"/>
      <c r="F25" s="352"/>
      <c r="G25" s="351"/>
      <c r="H25" s="351"/>
      <c r="I25" s="351"/>
      <c r="J25" s="351"/>
      <c r="K25" s="351"/>
      <c r="L25" s="351"/>
      <c r="M25" s="351"/>
      <c r="N25" s="350">
        <f>IFERROR(MEDIAN(N17:N22),"")</f>
        <v>15.991346739534443</v>
      </c>
      <c r="O25" s="350">
        <f>IFERROR(MEDIAN(O17:O22),"")</f>
        <v>14.291145839583615</v>
      </c>
      <c r="P25" s="350">
        <f>IFERROR(MEDIAN(P17:P22),"")</f>
        <v>13.833912236431857</v>
      </c>
      <c r="Q25" s="350">
        <f>IFERROR(MEDIAN(Q17:Q20),"")</f>
        <v>40.778002793296089</v>
      </c>
      <c r="R25" s="350">
        <f>IFERROR(MEDIAN(R17:R20),"")</f>
        <v>26.857530165787178</v>
      </c>
      <c r="S25" s="349">
        <f>IFERROR(MEDIAN(S17:S20),"")</f>
        <v>21.165669601341179</v>
      </c>
      <c r="T25"/>
      <c r="U25"/>
      <c r="V25"/>
    </row>
    <row r="26" spans="2:22" ht="17.25" customHeight="1">
      <c r="B26" s="199" t="s">
        <v>309</v>
      </c>
      <c r="C26" s="200"/>
      <c r="D26" s="200"/>
      <c r="E26" s="200"/>
      <c r="F26" s="200"/>
      <c r="G26" s="348"/>
      <c r="H26" s="348"/>
      <c r="I26" s="348"/>
      <c r="J26" s="348"/>
      <c r="K26" s="348"/>
      <c r="L26" s="348"/>
      <c r="M26" s="348"/>
      <c r="N26" s="205">
        <f>IFERROR(AVERAGE(N17:N22),"")</f>
        <v>21.113326143838204</v>
      </c>
      <c r="O26" s="205">
        <f>IFERROR(AVERAGE(O17:O22),"")</f>
        <v>15.188794438819095</v>
      </c>
      <c r="P26" s="205">
        <f>IFERROR(AVERAGE(P17:P22),"")</f>
        <v>13.305191516279073</v>
      </c>
      <c r="Q26" s="205">
        <f>IFERROR(AVERAGE(Q17:Q20),"")</f>
        <v>39.985074752433455</v>
      </c>
      <c r="R26" s="205">
        <f>IFERROR(AVERAGE(R17:R20),"")</f>
        <v>30.371850225645492</v>
      </c>
      <c r="S26" s="201">
        <f>IFERROR(AVERAGE(S17:S20),"")</f>
        <v>21.809817164502519</v>
      </c>
      <c r="T26" s="205"/>
      <c r="U26" s="205"/>
    </row>
    <row r="27" spans="2:22" ht="17.25" customHeight="1">
      <c r="B27" s="202" t="s">
        <v>310</v>
      </c>
      <c r="C27" s="347"/>
      <c r="D27" s="347"/>
      <c r="E27" s="347"/>
      <c r="F27" s="347"/>
      <c r="G27" s="346"/>
      <c r="H27" s="346"/>
      <c r="I27" s="346"/>
      <c r="J27" s="346"/>
      <c r="K27" s="346"/>
      <c r="L27" s="346"/>
      <c r="M27" s="346"/>
      <c r="N27" s="207">
        <f>IFERROR(MAX(N17:N22),"")</f>
        <v>56.020047341587755</v>
      </c>
      <c r="O27" s="207">
        <f>IFERROR(MAX(O17:O22),"")</f>
        <v>22.268536479444123</v>
      </c>
      <c r="P27" s="207">
        <f>IFERROR(MAX(P17:P22),"")</f>
        <v>17.769556428323899</v>
      </c>
      <c r="Q27" s="207">
        <f>IFERROR(MAX(Q17:Q20),"")</f>
        <v>59.304805534779362</v>
      </c>
      <c r="R27" s="207">
        <f>IFERROR(MAX(R17:R20),"")</f>
        <v>53.507794311165092</v>
      </c>
      <c r="S27" s="203">
        <f>IFERROR(MAX(S17:S20),"")</f>
        <v>29.292544839943105</v>
      </c>
      <c r="T27" s="205"/>
      <c r="U27" s="205"/>
    </row>
    <row r="28" spans="2:22" ht="17.25" customHeight="1"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</row>
    <row r="29" spans="2:22" ht="17.25" customHeight="1">
      <c r="B29" s="345" t="str">
        <f>company</f>
        <v>Nike Inc</v>
      </c>
      <c r="C29" s="344">
        <v>45808</v>
      </c>
      <c r="D29" s="184" t="str">
        <f>[1]Cover!C3</f>
        <v>NYSE: NKE</v>
      </c>
      <c r="E29" s="343">
        <f>currentprice</f>
        <v>58.71</v>
      </c>
      <c r="F29" s="479">
        <f>E29*dilutedshares</f>
        <v>86785.122000000003</v>
      </c>
      <c r="G29" s="342">
        <f>ev</f>
        <v>92246</v>
      </c>
      <c r="H29" s="341">
        <v>7550</v>
      </c>
      <c r="I29" s="341">
        <v>3824</v>
      </c>
      <c r="J29" s="341">
        <v>4205</v>
      </c>
      <c r="K29" s="341">
        <v>5700</v>
      </c>
      <c r="L29" s="341">
        <v>2524</v>
      </c>
      <c r="M29" s="341">
        <f>1.92*dilutedshares</f>
        <v>2838.1439999999998</v>
      </c>
      <c r="N29" s="340">
        <f>IFERROR($G29/H29,"")</f>
        <v>12.218013245033113</v>
      </c>
      <c r="O29" s="340">
        <f>IFERROR($G29/I29,"")</f>
        <v>24.122907949790793</v>
      </c>
      <c r="P29" s="340">
        <f>IFERROR($G29/J29,"")</f>
        <v>21.937217598097504</v>
      </c>
      <c r="Q29" s="340">
        <f>IFERROR($F29/K29,"")</f>
        <v>15.22546</v>
      </c>
      <c r="R29" s="340">
        <f>IFERROR($F29/L29,"")</f>
        <v>34.383962757527733</v>
      </c>
      <c r="S29" s="339">
        <f>IFERROR($F29/M29,"")</f>
        <v>30.578125000000004</v>
      </c>
      <c r="T29" s="355"/>
      <c r="U29" s="355"/>
    </row>
    <row r="30" spans="2:22"/>
    <row r="31" spans="2:22"/>
    <row r="32" spans="2:22" s="168" customFormat="1">
      <c r="B32" s="32" t="s">
        <v>311</v>
      </c>
      <c r="C32" s="169"/>
      <c r="D32" s="169"/>
      <c r="E32" s="169"/>
      <c r="F32" s="169"/>
    </row>
    <row r="33" spans="2:17"/>
    <row r="34" spans="2:17">
      <c r="B34" s="336"/>
      <c r="C34" s="335"/>
      <c r="D34" s="334" t="s">
        <v>71</v>
      </c>
      <c r="E34" s="333"/>
      <c r="F34" s="332"/>
      <c r="G34" s="333" t="s">
        <v>312</v>
      </c>
      <c r="H34" s="333"/>
      <c r="I34" s="332"/>
      <c r="J34" s="330" t="s">
        <v>313</v>
      </c>
      <c r="K34" s="330"/>
      <c r="L34" s="330"/>
      <c r="M34" s="331" t="s">
        <v>314</v>
      </c>
      <c r="N34" s="330"/>
      <c r="O34" s="329"/>
    </row>
    <row r="35" spans="2:17">
      <c r="B35" s="477" t="s">
        <v>315</v>
      </c>
      <c r="C35" s="328"/>
      <c r="D35" s="326" t="s">
        <v>316</v>
      </c>
      <c r="E35" s="325" t="s">
        <v>317</v>
      </c>
      <c r="F35" s="327" t="s">
        <v>318</v>
      </c>
      <c r="G35" s="326" t="s">
        <v>316</v>
      </c>
      <c r="H35" s="325" t="s">
        <v>317</v>
      </c>
      <c r="I35" s="327" t="s">
        <v>318</v>
      </c>
      <c r="J35" s="326" t="s">
        <v>316</v>
      </c>
      <c r="K35" s="325" t="s">
        <v>317</v>
      </c>
      <c r="L35" s="327" t="s">
        <v>318</v>
      </c>
      <c r="M35" s="326" t="s">
        <v>316</v>
      </c>
      <c r="N35" s="325" t="s">
        <v>317</v>
      </c>
      <c r="O35" s="324" t="s">
        <v>318</v>
      </c>
    </row>
    <row r="36" spans="2:17">
      <c r="B36" s="124" t="s">
        <v>319</v>
      </c>
      <c r="D36" s="323">
        <f>$N$24</f>
        <v>7.3913525498891355</v>
      </c>
      <c r="E36" s="323">
        <f>$N$25</f>
        <v>15.991346739534443</v>
      </c>
      <c r="F36" s="323">
        <f>$N$27</f>
        <v>56.020047341587755</v>
      </c>
      <c r="G36" s="322">
        <f>($H$29*D36)-netdebt</f>
        <v>52250.711751662973</v>
      </c>
      <c r="H36" s="322">
        <f>IFERROR(($H$29*E36)-netdebt,"")</f>
        <v>117180.66788348505</v>
      </c>
      <c r="I36" s="322">
        <f>($H$29*F36)-netdebt</f>
        <v>419397.35742898757</v>
      </c>
      <c r="J36" s="338">
        <f t="shared" ref="J36:L38" si="2">IFERROR(G36/dilutedshares,"")</f>
        <v>35.34752520069204</v>
      </c>
      <c r="K36" s="338">
        <f t="shared" si="2"/>
        <v>79.27253949633679</v>
      </c>
      <c r="L36" s="338">
        <f t="shared" si="2"/>
        <v>283.72165974089268</v>
      </c>
      <c r="M36" s="480">
        <f t="shared" ref="M36:O38" si="3">IFERROR((J36/currentprice)-1,"")</f>
        <v>-0.3979300766361431</v>
      </c>
      <c r="N36" s="480">
        <f t="shared" si="3"/>
        <v>0.35023913296434661</v>
      </c>
      <c r="O36" s="481">
        <f t="shared" si="3"/>
        <v>3.8325951241848522</v>
      </c>
    </row>
    <row r="37" spans="2:17">
      <c r="B37" s="124" t="s">
        <v>320</v>
      </c>
      <c r="D37" s="323">
        <f>$O$24</f>
        <v>9.8437869822485204</v>
      </c>
      <c r="E37" s="323">
        <f>$O$25</f>
        <v>14.291145839583615</v>
      </c>
      <c r="F37" s="323">
        <f>$O$27</f>
        <v>22.268536479444123</v>
      </c>
      <c r="G37" s="322">
        <f>($I$29*D37)-netdebt</f>
        <v>34088.641420118343</v>
      </c>
      <c r="H37" s="322">
        <f>($I$29*E37)-netdebt</f>
        <v>51095.341690567744</v>
      </c>
      <c r="I37" s="322">
        <f>($I$29*F37)-netdebt</f>
        <v>81600.88349739433</v>
      </c>
      <c r="J37" s="338">
        <f t="shared" si="2"/>
        <v>23.060912880610434</v>
      </c>
      <c r="K37" s="338">
        <f t="shared" si="2"/>
        <v>34.565919152055031</v>
      </c>
      <c r="L37" s="338">
        <f t="shared" si="2"/>
        <v>55.202870719384606</v>
      </c>
      <c r="M37" s="480">
        <f t="shared" si="3"/>
        <v>-0.6072063893610895</v>
      </c>
      <c r="N37" s="480">
        <f t="shared" si="3"/>
        <v>-0.41124307354701017</v>
      </c>
      <c r="O37" s="481">
        <f t="shared" si="3"/>
        <v>-5.9736489194607278E-2</v>
      </c>
    </row>
    <row r="38" spans="2:17">
      <c r="B38" s="320" t="s">
        <v>321</v>
      </c>
      <c r="C38" s="319"/>
      <c r="D38" s="318">
        <f>$P$24</f>
        <v>8.0791367848509257</v>
      </c>
      <c r="E38" s="318">
        <f>$P$25</f>
        <v>13.833912236431857</v>
      </c>
      <c r="F38" s="318">
        <f>$P$27</f>
        <v>17.769556428323899</v>
      </c>
      <c r="G38" s="317">
        <f>($J$29*D38)-netdebt</f>
        <v>30418.770180298139</v>
      </c>
      <c r="H38" s="317">
        <f>($J$29*E38)-netdebt</f>
        <v>54617.600954195957</v>
      </c>
      <c r="I38" s="317">
        <f>($J$29*F38)-netdebt</f>
        <v>71166.984781102001</v>
      </c>
      <c r="J38" s="337">
        <f t="shared" si="2"/>
        <v>20.578250696995088</v>
      </c>
      <c r="K38" s="337">
        <f t="shared" si="2"/>
        <v>36.94872206345282</v>
      </c>
      <c r="L38" s="337">
        <f t="shared" si="2"/>
        <v>48.144354472400217</v>
      </c>
      <c r="M38" s="482">
        <f t="shared" si="3"/>
        <v>-0.64949326014315978</v>
      </c>
      <c r="N38" s="482">
        <f>IFERROR((K38/currentprice)-1,"")</f>
        <v>-0.37065709311100636</v>
      </c>
      <c r="O38" s="453">
        <f t="shared" si="3"/>
        <v>-0.17996330314426479</v>
      </c>
    </row>
    <row r="39" spans="2:17">
      <c r="M39" s="483"/>
      <c r="N39" s="483"/>
      <c r="O39" s="483"/>
    </row>
    <row r="40" spans="2:17">
      <c r="B40" s="336"/>
      <c r="C40" s="335"/>
      <c r="D40" s="334" t="s">
        <v>71</v>
      </c>
      <c r="E40" s="333"/>
      <c r="F40" s="332"/>
      <c r="G40" s="333" t="s">
        <v>312</v>
      </c>
      <c r="H40" s="333"/>
      <c r="I40" s="332"/>
      <c r="J40" s="330" t="s">
        <v>313</v>
      </c>
      <c r="K40" s="330"/>
      <c r="L40" s="330"/>
      <c r="M40" s="484" t="s">
        <v>314</v>
      </c>
      <c r="N40" s="485"/>
      <c r="O40" s="486"/>
    </row>
    <row r="41" spans="2:17">
      <c r="B41" s="477" t="s">
        <v>315</v>
      </c>
      <c r="C41" s="328"/>
      <c r="D41" s="326" t="s">
        <v>316</v>
      </c>
      <c r="E41" s="325" t="s">
        <v>317</v>
      </c>
      <c r="F41" s="327" t="s">
        <v>318</v>
      </c>
      <c r="G41" s="326" t="s">
        <v>316</v>
      </c>
      <c r="H41" s="325" t="s">
        <v>317</v>
      </c>
      <c r="I41" s="327" t="s">
        <v>318</v>
      </c>
      <c r="J41" s="326" t="s">
        <v>316</v>
      </c>
      <c r="K41" s="325" t="s">
        <v>317</v>
      </c>
      <c r="L41" s="327" t="s">
        <v>318</v>
      </c>
      <c r="M41" s="487" t="s">
        <v>316</v>
      </c>
      <c r="N41" s="487" t="s">
        <v>317</v>
      </c>
      <c r="O41" s="488" t="s">
        <v>318</v>
      </c>
    </row>
    <row r="42" spans="2:17">
      <c r="B42" s="124" t="s">
        <v>322</v>
      </c>
      <c r="D42" s="323">
        <f>IFERROR(MIN($Q$17:$Q$20),"")</f>
        <v>19.079487888362294</v>
      </c>
      <c r="E42" s="323">
        <f>IFERROR(MEDIAN($Q$17:$Q$20),"")</f>
        <v>40.778002793296089</v>
      </c>
      <c r="F42" s="323">
        <f>IFERROR(MAX($Q$17:$Q$20),"")</f>
        <v>59.304805534779362</v>
      </c>
      <c r="G42" s="322">
        <f>IFERROR(($K$29*D42),"")</f>
        <v>108753.08096366508</v>
      </c>
      <c r="H42" s="322">
        <f>IFERROR(($K$29*E42),"")</f>
        <v>232434.61592178771</v>
      </c>
      <c r="I42" s="322">
        <f>IFERROR(($K$29*F42),"")</f>
        <v>338037.39154824236</v>
      </c>
      <c r="J42" s="321">
        <f t="shared" ref="J42:L44" si="4">IFERROR(G42/dilutedshares,"")</f>
        <v>73.571290057952297</v>
      </c>
      <c r="K42" s="321">
        <f t="shared" si="4"/>
        <v>157.24165601528054</v>
      </c>
      <c r="L42" s="321">
        <f t="shared" si="4"/>
        <v>228.68176941431631</v>
      </c>
      <c r="M42" s="480">
        <f t="shared" ref="M42:O44" si="5">IFERROR((J42/currentprice)-1,"")</f>
        <v>0.25313047279768863</v>
      </c>
      <c r="N42" s="480">
        <f t="shared" si="5"/>
        <v>1.6782772273084743</v>
      </c>
      <c r="O42" s="481">
        <f t="shared" si="5"/>
        <v>2.8951076377843008</v>
      </c>
    </row>
    <row r="43" spans="2:17">
      <c r="B43" s="124" t="s">
        <v>323</v>
      </c>
      <c r="D43" s="323">
        <f>IFERROR(MIN($R$17:$R$20),"")</f>
        <v>14.264546259842518</v>
      </c>
      <c r="E43" s="323">
        <f>IFERROR(MEDIAN($R$17:$R$20),"")</f>
        <v>26.857530165787178</v>
      </c>
      <c r="F43" s="323">
        <f>IFERROR(MAX($R$17:$R$20),"")</f>
        <v>53.507794311165092</v>
      </c>
      <c r="G43" s="322">
        <f>IFERROR(($L$29*D43),"")</f>
        <v>36003.714759842514</v>
      </c>
      <c r="H43" s="322">
        <f>IFERROR(($L$29*E43),"")</f>
        <v>67788.406138446837</v>
      </c>
      <c r="I43" s="322">
        <f>IFERROR(($L$29*F43),"")</f>
        <v>135053.6728413807</v>
      </c>
      <c r="J43" s="321">
        <f t="shared" si="4"/>
        <v>24.356457015182325</v>
      </c>
      <c r="K43" s="321">
        <f t="shared" si="4"/>
        <v>45.858751277531347</v>
      </c>
      <c r="L43" s="321">
        <f t="shared" si="4"/>
        <v>91.363599540915089</v>
      </c>
      <c r="M43" s="480">
        <f t="shared" si="5"/>
        <v>-0.58513955007354235</v>
      </c>
      <c r="N43" s="480">
        <f t="shared" si="5"/>
        <v>-0.21889369310966877</v>
      </c>
      <c r="O43" s="481">
        <f t="shared" si="5"/>
        <v>0.55618462852861672</v>
      </c>
    </row>
    <row r="44" spans="2:17">
      <c r="B44" s="320" t="s">
        <v>324</v>
      </c>
      <c r="C44" s="319"/>
      <c r="D44" s="318">
        <f>IFERROR(MIN($S$17:$S$20),"")</f>
        <v>15.615384615384615</v>
      </c>
      <c r="E44" s="318">
        <f>IFERROR(MEDIAN($S$17:$S$20),"")</f>
        <v>21.165669601341179</v>
      </c>
      <c r="F44" s="318">
        <f>IFERROR(MAX($S$17:$S$20),"")</f>
        <v>29.292544839943105</v>
      </c>
      <c r="G44" s="317">
        <f>IFERROR(($M$29*D44),"")</f>
        <v>44318.71015384615</v>
      </c>
      <c r="H44" s="317">
        <f>IFERROR(($M$29*E44),"")</f>
        <v>60071.218185028854</v>
      </c>
      <c r="I44" s="317">
        <f>IFERROR(($M$29*F44),"")</f>
        <v>83136.460382215475</v>
      </c>
      <c r="J44" s="316">
        <f t="shared" si="4"/>
        <v>29.981538461538459</v>
      </c>
      <c r="K44" s="316">
        <f t="shared" si="4"/>
        <v>40.638085634575056</v>
      </c>
      <c r="L44" s="316">
        <f t="shared" si="4"/>
        <v>56.241686092690756</v>
      </c>
      <c r="M44" s="482">
        <f t="shared" si="5"/>
        <v>-0.48932824967572031</v>
      </c>
      <c r="N44" s="482">
        <f t="shared" si="5"/>
        <v>-0.30781663030871986</v>
      </c>
      <c r="O44" s="453">
        <f t="shared" si="5"/>
        <v>-4.2042478407583794E-2</v>
      </c>
    </row>
    <row r="45" spans="2:17">
      <c r="M45" s="483"/>
      <c r="N45" s="483"/>
      <c r="O45" s="483"/>
    </row>
    <row r="46" spans="2:17" ht="13.2" customHeight="1">
      <c r="B46" s="336"/>
      <c r="C46" s="335"/>
      <c r="D46" s="334" t="s">
        <v>71</v>
      </c>
      <c r="E46" s="333"/>
      <c r="F46" s="332"/>
      <c r="G46" s="333" t="s">
        <v>312</v>
      </c>
      <c r="H46" s="333"/>
      <c r="I46" s="332"/>
      <c r="J46" s="330" t="s">
        <v>313</v>
      </c>
      <c r="K46" s="330"/>
      <c r="L46" s="330"/>
      <c r="M46" s="509" t="s">
        <v>314</v>
      </c>
      <c r="N46" s="510"/>
      <c r="O46" s="511"/>
      <c r="P46" s="315"/>
      <c r="Q46" s="315"/>
    </row>
    <row r="47" spans="2:17">
      <c r="B47" s="477" t="s">
        <v>315</v>
      </c>
      <c r="C47" s="328"/>
      <c r="D47" s="326" t="s">
        <v>367</v>
      </c>
      <c r="E47" s="325" t="s">
        <v>317</v>
      </c>
      <c r="F47" s="327" t="s">
        <v>368</v>
      </c>
      <c r="G47" s="326" t="s">
        <v>367</v>
      </c>
      <c r="H47" s="325" t="s">
        <v>317</v>
      </c>
      <c r="I47" s="327" t="s">
        <v>368</v>
      </c>
      <c r="J47" s="326" t="s">
        <v>367</v>
      </c>
      <c r="K47" s="325" t="s">
        <v>317</v>
      </c>
      <c r="L47" s="327" t="s">
        <v>368</v>
      </c>
      <c r="M47" s="487" t="s">
        <v>367</v>
      </c>
      <c r="N47" s="487" t="s">
        <v>317</v>
      </c>
      <c r="O47" s="488" t="s">
        <v>368</v>
      </c>
    </row>
    <row r="48" spans="2:17">
      <c r="B48" s="124" t="s">
        <v>319</v>
      </c>
      <c r="D48" s="323">
        <f>_xlfn.PERCENTILE.EXC(N17:N22,0.25)</f>
        <v>8.432007002907639</v>
      </c>
      <c r="E48" s="323">
        <f>$N$25</f>
        <v>15.991346739534443</v>
      </c>
      <c r="F48" s="323">
        <f>_xlfn.PERCENTILE.EXC(O17:O22,0.75)</f>
        <v>20.719406847133758</v>
      </c>
      <c r="G48" s="322">
        <f>($H$29*D48)-netdebt</f>
        <v>60107.652871952676</v>
      </c>
      <c r="H48" s="322">
        <f>IFERROR(($H$29*E48)-netdebt,"")</f>
        <v>117180.66788348505</v>
      </c>
      <c r="I48" s="322">
        <f>($H$29*F48)-netdebt</f>
        <v>152877.52169585988</v>
      </c>
      <c r="J48" s="338">
        <f t="shared" ref="J48:J50" si="6">IFERROR(G48/dilutedshares,"")</f>
        <v>40.662733643588602</v>
      </c>
      <c r="K48" s="338">
        <f t="shared" ref="K48:K50" si="7">IFERROR(H48/dilutedshares,"")</f>
        <v>79.27253949633679</v>
      </c>
      <c r="L48" s="338">
        <f t="shared" ref="L48:L50" si="8">IFERROR(I48/dilutedshares,"")</f>
        <v>103.42140555801642</v>
      </c>
      <c r="M48" s="480">
        <f t="shared" ref="M48:M50" si="9">IFERROR((J48/currentprice)-1,"")</f>
        <v>-0.30739680389050239</v>
      </c>
      <c r="N48" s="480">
        <f t="shared" ref="N48:N49" si="10">IFERROR((K48/currentprice)-1,"")</f>
        <v>0.35023913296434661</v>
      </c>
      <c r="O48" s="481">
        <f t="shared" ref="O48:O50" si="11">IFERROR((L48/currentprice)-1,"")</f>
        <v>0.76156371245131016</v>
      </c>
    </row>
    <row r="49" spans="2:21">
      <c r="B49" s="124" t="s">
        <v>320</v>
      </c>
      <c r="D49" s="323">
        <f>_xlfn.PERCENTILE.EXC(O17:O22,0.25)</f>
        <v>10.137287637330424</v>
      </c>
      <c r="E49" s="323">
        <f>$O$25</f>
        <v>14.291145839583615</v>
      </c>
      <c r="F49" s="323">
        <f>_xlfn.PERCENTILE.EXC(N17:N22,0.75)</f>
        <v>30.885240589324184</v>
      </c>
      <c r="G49" s="322">
        <f>($I$29*D49)-netdebt</f>
        <v>35210.987925151538</v>
      </c>
      <c r="H49" s="322">
        <f>($I$29*E49)-netdebt</f>
        <v>51095.341690567744</v>
      </c>
      <c r="I49" s="322">
        <f>($I$29*F49)-netdebt</f>
        <v>114551.16001357567</v>
      </c>
      <c r="J49" s="338">
        <f t="shared" si="6"/>
        <v>23.820178544954363</v>
      </c>
      <c r="K49" s="338">
        <f t="shared" si="7"/>
        <v>34.565919152055031</v>
      </c>
      <c r="L49" s="338">
        <f t="shared" si="8"/>
        <v>77.493681513716453</v>
      </c>
      <c r="M49" s="480">
        <f t="shared" si="9"/>
        <v>-0.5942739133886159</v>
      </c>
      <c r="N49" s="480">
        <f t="shared" si="10"/>
        <v>-0.41124307354701017</v>
      </c>
      <c r="O49" s="481">
        <f t="shared" si="11"/>
        <v>0.31994007006841163</v>
      </c>
      <c r="P49" s="311"/>
      <c r="Q49" s="311"/>
    </row>
    <row r="50" spans="2:21">
      <c r="B50" s="320" t="s">
        <v>321</v>
      </c>
      <c r="C50" s="319"/>
      <c r="D50" s="318">
        <f>_xlfn.PERCENTILE.EXC(P17:P22,0.25)</f>
        <v>10.308968764113965</v>
      </c>
      <c r="E50" s="318">
        <f>$P$25</f>
        <v>13.833912236431857</v>
      </c>
      <c r="F50" s="318">
        <f>_xlfn.PERCENTILE.EXC(P17:P22,0.75)</f>
        <v>15.889178097906662</v>
      </c>
      <c r="G50" s="317">
        <f>($J$29*D50)-netdebt</f>
        <v>39795.213653099221</v>
      </c>
      <c r="H50" s="317">
        <f>($J$29*E50)-netdebt</f>
        <v>54617.600954195957</v>
      </c>
      <c r="I50" s="317">
        <f>($J$29*F50)-netdebt</f>
        <v>63259.993901697511</v>
      </c>
      <c r="J50" s="337">
        <f t="shared" si="6"/>
        <v>26.921400117101353</v>
      </c>
      <c r="K50" s="337">
        <f t="shared" si="7"/>
        <v>36.94872206345282</v>
      </c>
      <c r="L50" s="337">
        <f t="shared" si="8"/>
        <v>42.795287445337237</v>
      </c>
      <c r="M50" s="482">
        <f t="shared" si="9"/>
        <v>-0.54145119882300541</v>
      </c>
      <c r="N50" s="482">
        <f>IFERROR((K50/currentprice)-1,"")</f>
        <v>-0.37065709311100636</v>
      </c>
      <c r="O50" s="489">
        <f t="shared" si="11"/>
        <v>-0.27107328486906423</v>
      </c>
      <c r="P50" s="311"/>
      <c r="Q50" s="311"/>
    </row>
    <row r="51" spans="2:21">
      <c r="F51" s="314"/>
      <c r="G51" s="314"/>
      <c r="M51" s="483"/>
      <c r="N51" s="483"/>
      <c r="O51" s="483"/>
    </row>
    <row r="52" spans="2:21" ht="15.6">
      <c r="B52" s="336"/>
      <c r="C52" s="335"/>
      <c r="D52" s="334" t="s">
        <v>71</v>
      </c>
      <c r="E52" s="333"/>
      <c r="F52" s="332"/>
      <c r="G52" s="333" t="s">
        <v>312</v>
      </c>
      <c r="H52" s="333"/>
      <c r="I52" s="332"/>
      <c r="J52" s="330" t="s">
        <v>313</v>
      </c>
      <c r="K52" s="330"/>
      <c r="L52" s="330"/>
      <c r="M52" s="484" t="s">
        <v>314</v>
      </c>
      <c r="N52" s="485"/>
      <c r="O52" s="486"/>
      <c r="T52"/>
      <c r="U52"/>
    </row>
    <row r="53" spans="2:21" ht="15.6">
      <c r="B53" s="477" t="s">
        <v>315</v>
      </c>
      <c r="C53" s="328"/>
      <c r="D53" s="326" t="s">
        <v>367</v>
      </c>
      <c r="E53" s="325" t="s">
        <v>317</v>
      </c>
      <c r="F53" s="327" t="s">
        <v>368</v>
      </c>
      <c r="G53" s="326" t="s">
        <v>367</v>
      </c>
      <c r="H53" s="325" t="s">
        <v>317</v>
      </c>
      <c r="I53" s="327" t="s">
        <v>368</v>
      </c>
      <c r="J53" s="326" t="s">
        <v>367</v>
      </c>
      <c r="K53" s="325" t="s">
        <v>317</v>
      </c>
      <c r="L53" s="327" t="s">
        <v>368</v>
      </c>
      <c r="M53" s="487" t="s">
        <v>316</v>
      </c>
      <c r="N53" s="487" t="s">
        <v>317</v>
      </c>
      <c r="O53" s="488" t="s">
        <v>368</v>
      </c>
      <c r="T53"/>
      <c r="U53"/>
    </row>
    <row r="54" spans="2:21" ht="15.6">
      <c r="B54" s="124" t="s">
        <v>322</v>
      </c>
      <c r="D54" s="323">
        <f>PERCENTILE(Q17:Q20,0.25)</f>
        <v>33.685376162034707</v>
      </c>
      <c r="E54" s="323">
        <f>IFERROR(MEDIAN($Q$17:$Q$20),"")</f>
        <v>40.778002793296089</v>
      </c>
      <c r="F54" s="323">
        <f>PERCENTILE(Q17:Q20,0.75)</f>
        <v>47.077701383694844</v>
      </c>
      <c r="G54" s="322">
        <f>IFERROR(($K$29*D54),"")</f>
        <v>192006.64412359783</v>
      </c>
      <c r="H54" s="322">
        <f>IFERROR(($K$29*E54),"")</f>
        <v>232434.61592178771</v>
      </c>
      <c r="I54" s="322">
        <f>IFERROR(($K$29*F54),"")</f>
        <v>268342.89788706059</v>
      </c>
      <c r="J54" s="321">
        <f t="shared" ref="J54:J56" si="12">IFERROR(G54/dilutedshares,"")</f>
        <v>129.89219599756314</v>
      </c>
      <c r="K54" s="321">
        <f t="shared" ref="K54:K56" si="13">IFERROR(H54/dilutedshares,"")</f>
        <v>157.24165601528054</v>
      </c>
      <c r="L54" s="321">
        <f t="shared" ref="L54:L56" si="14">IFERROR(I54/dilutedshares,"")</f>
        <v>181.53355289342483</v>
      </c>
      <c r="M54" s="480">
        <f t="shared" ref="M54:M56" si="15">IFERROR((J54/currentprice)-1,"")</f>
        <v>1.2124373360170861</v>
      </c>
      <c r="N54" s="480">
        <f t="shared" ref="N54:N56" si="16">IFERROR((K54/currentprice)-1,"")</f>
        <v>1.6782772273084743</v>
      </c>
      <c r="O54" s="481">
        <f t="shared" ref="O54:O56" si="17">IFERROR((L54/currentprice)-1,"")</f>
        <v>2.0920380325911228</v>
      </c>
      <c r="T54"/>
      <c r="U54"/>
    </row>
    <row r="55" spans="2:21" ht="15.6">
      <c r="B55" s="124" t="s">
        <v>323</v>
      </c>
      <c r="D55" s="323">
        <f>PERCENTILE(R17:R20,0.25)</f>
        <v>21.600545101545997</v>
      </c>
      <c r="E55" s="323">
        <f>IFERROR(MEDIAN($R$17:$R$20),"")</f>
        <v>26.857530165787178</v>
      </c>
      <c r="F55" s="323">
        <f>PERCENTILE(R17:R20,0.75)</f>
        <v>35.628835289886673</v>
      </c>
      <c r="G55" s="322">
        <f>IFERROR(($L$29*D55),"")</f>
        <v>54519.775836302098</v>
      </c>
      <c r="H55" s="322">
        <f>IFERROR(($L$29*E55),"")</f>
        <v>67788.406138446837</v>
      </c>
      <c r="I55" s="322">
        <f>IFERROR(($L$29*F55),"")</f>
        <v>89927.180271673962</v>
      </c>
      <c r="J55" s="321">
        <f t="shared" si="12"/>
        <v>36.882543523408266</v>
      </c>
      <c r="K55" s="321">
        <f t="shared" si="13"/>
        <v>45.858751277531347</v>
      </c>
      <c r="L55" s="321">
        <f t="shared" si="14"/>
        <v>60.835597531913109</v>
      </c>
      <c r="M55" s="480">
        <f t="shared" si="15"/>
        <v>-0.37178430380840977</v>
      </c>
      <c r="N55" s="480">
        <f t="shared" si="16"/>
        <v>-0.21889369310966877</v>
      </c>
      <c r="O55" s="481">
        <f t="shared" si="17"/>
        <v>3.6205033757675142E-2</v>
      </c>
      <c r="T55"/>
      <c r="U55"/>
    </row>
    <row r="56" spans="2:21" ht="15.6">
      <c r="B56" s="320" t="s">
        <v>324</v>
      </c>
      <c r="C56" s="319"/>
      <c r="D56" s="318">
        <f>PERCENTILE(S17:S20,0.25)</f>
        <v>16.500066831517746</v>
      </c>
      <c r="E56" s="318">
        <f>IFERROR(MEDIAN($S$17:$S$20),"")</f>
        <v>21.165669601341179</v>
      </c>
      <c r="F56" s="318">
        <f>PERCENTILE(S17:S20,0.75)</f>
        <v>26.475419934325956</v>
      </c>
      <c r="G56" s="317">
        <f>IFERROR(($M$29*D56),"")</f>
        <v>46829.565677471095</v>
      </c>
      <c r="H56" s="317">
        <f>IFERROR(($M$29*E56),"")</f>
        <v>60071.218185028854</v>
      </c>
      <c r="I56" s="317">
        <f>IFERROR(($M$29*F56),"")</f>
        <v>75141.054234087598</v>
      </c>
      <c r="J56" s="316">
        <f t="shared" si="12"/>
        <v>31.680128316514068</v>
      </c>
      <c r="K56" s="316">
        <f t="shared" si="13"/>
        <v>40.638085634575056</v>
      </c>
      <c r="L56" s="316">
        <f t="shared" si="14"/>
        <v>50.832806273905831</v>
      </c>
      <c r="M56" s="482">
        <f t="shared" si="15"/>
        <v>-0.46039638363968549</v>
      </c>
      <c r="N56" s="482">
        <f t="shared" si="16"/>
        <v>-0.30781663030871986</v>
      </c>
      <c r="O56" s="489">
        <f t="shared" si="17"/>
        <v>-0.13417124384422019</v>
      </c>
      <c r="T56"/>
      <c r="U56"/>
    </row>
    <row r="57" spans="2:21">
      <c r="F57" s="314"/>
      <c r="G57" s="314"/>
      <c r="H57" s="314"/>
      <c r="I57" s="313"/>
      <c r="J57" s="313"/>
      <c r="K57" s="313"/>
      <c r="L57" s="312"/>
      <c r="M57" s="312"/>
      <c r="N57" s="312"/>
      <c r="O57" s="311"/>
      <c r="P57" s="311"/>
      <c r="Q57" s="311"/>
    </row>
    <row r="58" spans="2:21">
      <c r="C58" s="449" t="str">
        <f>N15</f>
        <v>EV/EBITDA</v>
      </c>
      <c r="D58" s="449" t="str">
        <f>Q15</f>
        <v>P/E</v>
      </c>
      <c r="E58" s="310"/>
      <c r="F58" s="310"/>
      <c r="G58" s="310"/>
      <c r="H58" s="310"/>
      <c r="I58" s="310"/>
      <c r="J58" s="310"/>
      <c r="K58" s="310"/>
      <c r="L58" s="309"/>
      <c r="M58" s="309"/>
      <c r="N58" s="309"/>
      <c r="O58" s="308"/>
      <c r="P58" s="308"/>
      <c r="Q58" s="308"/>
    </row>
    <row r="59" spans="2:21" ht="13.8" thickBot="1">
      <c r="B59" s="451" t="s">
        <v>288</v>
      </c>
      <c r="C59" s="452" t="s">
        <v>294</v>
      </c>
      <c r="D59" s="452" t="s">
        <v>294</v>
      </c>
      <c r="E59" s="310"/>
      <c r="F59" s="310"/>
      <c r="G59" s="310"/>
      <c r="H59" s="310"/>
      <c r="I59" s="310"/>
      <c r="J59" s="310"/>
      <c r="K59" s="310"/>
      <c r="L59" s="309"/>
      <c r="M59" s="309"/>
      <c r="N59" s="309"/>
      <c r="O59" s="308"/>
      <c r="P59" s="308"/>
      <c r="Q59" s="308"/>
    </row>
    <row r="60" spans="2:21">
      <c r="B60" s="450" t="str">
        <f t="shared" ref="B60:B65" si="18">B17</f>
        <v>Adidas</v>
      </c>
      <c r="C60" s="436">
        <f t="shared" ref="C60:C65" si="19">P17</f>
        <v>8.0791367848509257</v>
      </c>
      <c r="D60" s="436">
        <f t="shared" ref="D60:D65" si="20">S17</f>
        <v>16.794960903562121</v>
      </c>
    </row>
    <row r="61" spans="2:21">
      <c r="B61" s="450" t="str">
        <f t="shared" si="18"/>
        <v>On</v>
      </c>
      <c r="C61" s="437">
        <f t="shared" si="19"/>
        <v>17.769556428323899</v>
      </c>
      <c r="D61" s="437">
        <f t="shared" si="20"/>
        <v>29.292544839943105</v>
      </c>
    </row>
    <row r="62" spans="2:21">
      <c r="B62" s="450" t="str">
        <f t="shared" si="18"/>
        <v>Deckers Outdoor Corporation</v>
      </c>
      <c r="C62" s="437">
        <f t="shared" si="19"/>
        <v>11.052246090534979</v>
      </c>
      <c r="D62" s="437">
        <f t="shared" si="20"/>
        <v>15.615384615384615</v>
      </c>
    </row>
    <row r="63" spans="2:21">
      <c r="B63" s="450" t="str">
        <f t="shared" si="18"/>
        <v>Asics</v>
      </c>
      <c r="C63" s="437">
        <f t="shared" si="19"/>
        <v>14.543808724832216</v>
      </c>
      <c r="D63" s="437">
        <f t="shared" si="20"/>
        <v>25.536378299120237</v>
      </c>
    </row>
    <row r="64" spans="2:21">
      <c r="B64" s="450" t="str">
        <f t="shared" si="18"/>
        <v>Under Armour</v>
      </c>
      <c r="C64" s="437">
        <f t="shared" si="19"/>
        <v>15.262385321100917</v>
      </c>
      <c r="D64" s="439" t="str">
        <f t="shared" si="20"/>
        <v>N/A</v>
      </c>
    </row>
    <row r="65" spans="2:4">
      <c r="B65" s="450" t="str">
        <f t="shared" si="18"/>
        <v>Puma</v>
      </c>
      <c r="C65" s="437">
        <f t="shared" si="19"/>
        <v>13.124015748031496</v>
      </c>
      <c r="D65" s="439" t="str">
        <f t="shared" si="20"/>
        <v>N/A</v>
      </c>
    </row>
    <row r="66" spans="2:4">
      <c r="B66" s="450" t="str">
        <f>B29</f>
        <v>Nike Inc</v>
      </c>
      <c r="C66" s="436">
        <f>P29</f>
        <v>21.937217598097504</v>
      </c>
      <c r="D66" s="436">
        <f>S29</f>
        <v>30.578125000000004</v>
      </c>
    </row>
    <row r="67" spans="2:4"/>
    <row r="68" spans="2:4"/>
    <row r="69" spans="2:4"/>
    <row r="70" spans="2:4"/>
    <row r="71" spans="2:4"/>
    <row r="72" spans="2:4"/>
    <row r="73" spans="2:4"/>
    <row r="74" spans="2:4"/>
    <row r="75" spans="2:4"/>
    <row r="76" spans="2:4"/>
    <row r="77" spans="2:4"/>
    <row r="78" spans="2:4"/>
    <row r="79" spans="2:4"/>
    <row r="80" spans="2:4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mergeCells count="2">
    <mergeCell ref="M46:O46"/>
    <mergeCell ref="Q15:S15"/>
  </mergeCells>
  <conditionalFormatting sqref="B23:U23">
    <cfRule type="expression" dxfId="5" priority="3">
      <formula>" =MOD(ROW(),2)=1"</formula>
    </cfRule>
    <cfRule type="expression" dxfId="4" priority="4">
      <formula>" MOD(ROW(),2)=1"</formula>
    </cfRule>
  </conditionalFormatting>
  <conditionalFormatting sqref="S5:U5">
    <cfRule type="cellIs" dxfId="3" priority="2" operator="equal">
      <formula>"Check"</formula>
    </cfRule>
  </conditionalFormatting>
  <conditionalFormatting sqref="V17:V22">
    <cfRule type="expression" dxfId="2" priority="1">
      <formula>" =MOD(ROW(),2)=1"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4E16-074C-4EA2-81AD-BCAA7ED73667}">
  <sheetPr>
    <tabColor rgb="FFA4C298"/>
  </sheetPr>
  <dimension ref="A1:CB67"/>
  <sheetViews>
    <sheetView showGridLines="0" zoomScale="70" zoomScaleNormal="80" workbookViewId="0">
      <pane xSplit="3" topLeftCell="D1" activePane="topRight" state="frozen"/>
      <selection activeCell="A16" sqref="A16"/>
      <selection pane="topRight" activeCell="E28" sqref="E28"/>
    </sheetView>
  </sheetViews>
  <sheetFormatPr defaultColWidth="0" defaultRowHeight="0" customHeight="1" zeroHeight="1"/>
  <cols>
    <col min="1" max="1" width="2.5" style="17" customWidth="1"/>
    <col min="2" max="5" width="28.5" style="17" customWidth="1"/>
    <col min="6" max="8" width="22.19921875" style="17" customWidth="1"/>
    <col min="9" max="9" width="71.5" style="17" bestFit="1" customWidth="1"/>
    <col min="10" max="11" width="5" style="17" customWidth="1"/>
    <col min="12" max="38" width="0" style="17" hidden="1" customWidth="1"/>
    <col min="39" max="47" width="18.19921875" style="17" hidden="1" customWidth="1"/>
    <col min="48" max="49" width="8.69921875" style="17" hidden="1" customWidth="1"/>
    <col min="50" max="67" width="0" style="17" hidden="1" customWidth="1"/>
    <col min="68" max="76" width="18.19921875" style="17" hidden="1" customWidth="1"/>
    <col min="77" max="78" width="8.69921875" style="17" hidden="1" customWidth="1"/>
    <col min="79" max="80" width="0" style="17" hidden="1" customWidth="1"/>
    <col min="81" max="16384" width="8.69921875" style="17" hidden="1"/>
  </cols>
  <sheetData>
    <row r="1" spans="1:11" s="33" customFormat="1" ht="17.399999999999999">
      <c r="B1" s="32" t="s">
        <v>6</v>
      </c>
    </row>
    <row r="2" spans="1:11" s="33" customFormat="1" ht="17.399999999999999">
      <c r="B2" s="32" t="str">
        <f>company</f>
        <v>Nike</v>
      </c>
    </row>
    <row r="3" spans="1:11" s="33" customFormat="1" ht="17.399999999999999">
      <c r="B3" s="32" t="s">
        <v>11</v>
      </c>
    </row>
    <row r="4" spans="1:11" s="33" customFormat="1" ht="17.399999999999999">
      <c r="B4" s="32" t="s">
        <v>325</v>
      </c>
      <c r="C4" s="35"/>
      <c r="D4" s="35"/>
      <c r="E4" s="35"/>
      <c r="F4" s="35"/>
    </row>
    <row r="5" spans="1:11" ht="15.75" customHeight="1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</row>
    <row r="6" spans="1:11" s="168" customFormat="1" ht="13.2">
      <c r="B6" s="32" t="s">
        <v>326</v>
      </c>
      <c r="C6" s="169"/>
      <c r="D6" s="169"/>
      <c r="E6" s="169"/>
      <c r="F6" s="169"/>
    </row>
    <row r="7" spans="1:11" ht="15.75" customHeight="1">
      <c r="A7" s="117"/>
      <c r="B7" s="118"/>
      <c r="C7" s="118"/>
      <c r="D7" s="118"/>
      <c r="E7" s="118"/>
      <c r="F7" s="118"/>
      <c r="G7" s="118"/>
      <c r="H7" s="118"/>
      <c r="I7" s="118"/>
      <c r="J7" s="118"/>
      <c r="K7" s="118"/>
    </row>
    <row r="8" spans="1:11" ht="13.2">
      <c r="B8" s="17" t="s">
        <v>279</v>
      </c>
      <c r="C8" s="223">
        <f>currentprice</f>
        <v>60</v>
      </c>
      <c r="D8" s="170"/>
    </row>
    <row r="9" spans="1:11" ht="13.2">
      <c r="B9" s="17" t="s">
        <v>280</v>
      </c>
      <c r="C9" s="224">
        <f>'Comparables '!dilutedshares</f>
        <v>1478.2</v>
      </c>
      <c r="D9" s="171"/>
    </row>
    <row r="10" spans="1:11" ht="13.2">
      <c r="B10" s="17" t="s">
        <v>282</v>
      </c>
      <c r="C10" s="224">
        <f>'Comparables '!netdebt</f>
        <v>3554</v>
      </c>
      <c r="D10" s="170"/>
    </row>
    <row r="11" spans="1:11" ht="13.2">
      <c r="D11" s="172"/>
    </row>
    <row r="12" spans="1:11" ht="15.6">
      <c r="B12" s="17" t="s">
        <v>327</v>
      </c>
      <c r="C12" s="380">
        <v>46309</v>
      </c>
      <c r="D12" s="172"/>
    </row>
    <row r="13" spans="1:11" ht="15.6">
      <c r="B13" s="17" t="s">
        <v>328</v>
      </c>
      <c r="C13" s="380">
        <v>4477</v>
      </c>
      <c r="D13" s="172"/>
    </row>
    <row r="14" spans="1:11" ht="13.2">
      <c r="B14" s="17" t="s">
        <v>329</v>
      </c>
      <c r="C14" s="379">
        <v>3219</v>
      </c>
      <c r="D14" s="172"/>
    </row>
    <row r="15" spans="1:11" ht="15.6">
      <c r="B15" s="17" t="s">
        <v>330</v>
      </c>
      <c r="C15" s="380">
        <v>2.16</v>
      </c>
      <c r="D15" s="172"/>
    </row>
    <row r="16" spans="1:11" ht="13.2">
      <c r="D16" s="172"/>
    </row>
    <row r="17" spans="2:11" ht="13.2">
      <c r="D17" s="172"/>
    </row>
    <row r="18" spans="2:11" s="168" customFormat="1" ht="13.2">
      <c r="B18" s="32" t="s">
        <v>331</v>
      </c>
      <c r="C18" s="169"/>
      <c r="D18" s="169"/>
      <c r="E18" s="169"/>
      <c r="F18" s="169"/>
    </row>
    <row r="19" spans="2:11" ht="13.2"/>
    <row r="20" spans="2:11" s="173" customFormat="1" ht="17.25" customHeight="1">
      <c r="B20" s="192" t="s">
        <v>285</v>
      </c>
      <c r="F20" s="174" t="s">
        <v>332</v>
      </c>
      <c r="G20" s="175"/>
      <c r="H20" s="175"/>
    </row>
    <row r="21" spans="2:11" s="178" customFormat="1" ht="17.25" customHeight="1" thickBot="1">
      <c r="B21" s="191" t="s">
        <v>333</v>
      </c>
      <c r="C21" s="191" t="s">
        <v>334</v>
      </c>
      <c r="D21" s="176" t="s">
        <v>335</v>
      </c>
      <c r="E21" s="176" t="s">
        <v>336</v>
      </c>
      <c r="F21" s="177" t="s">
        <v>337</v>
      </c>
      <c r="G21" s="177" t="s">
        <v>338</v>
      </c>
      <c r="H21" s="177" t="s">
        <v>339</v>
      </c>
      <c r="I21" s="177" t="s">
        <v>340</v>
      </c>
      <c r="J21" s="220"/>
      <c r="K21" s="220"/>
    </row>
    <row r="22" spans="2:11" s="173" customFormat="1" ht="17.25" customHeight="1">
      <c r="B22" s="377" t="s">
        <v>376</v>
      </c>
      <c r="C22" s="377" t="s">
        <v>377</v>
      </c>
      <c r="D22" s="383">
        <v>45778</v>
      </c>
      <c r="E22" s="384">
        <v>9420</v>
      </c>
      <c r="F22" s="454">
        <f>E22/8969</f>
        <v>1.0502843126324004</v>
      </c>
      <c r="G22" s="454">
        <f>E22/1200</f>
        <v>7.85</v>
      </c>
      <c r="H22" s="454">
        <f>63/4.16</f>
        <v>15.144230769230768</v>
      </c>
      <c r="I22" s="193" t="s">
        <v>378</v>
      </c>
      <c r="J22" s="221"/>
      <c r="K22" s="221"/>
    </row>
    <row r="23" spans="2:11" s="173" customFormat="1" ht="17.25" customHeight="1">
      <c r="B23" s="378" t="s">
        <v>379</v>
      </c>
      <c r="C23" s="378" t="s">
        <v>380</v>
      </c>
      <c r="D23" s="385">
        <v>45778</v>
      </c>
      <c r="E23" s="386">
        <v>2500</v>
      </c>
      <c r="F23" s="454">
        <f>E23/7971</f>
        <v>0.31363693388533431</v>
      </c>
      <c r="G23" s="454">
        <v>6.1</v>
      </c>
      <c r="H23" s="454">
        <f>24/1.37</f>
        <v>17.518248175182482</v>
      </c>
      <c r="I23" s="193" t="s">
        <v>381</v>
      </c>
      <c r="J23" s="221"/>
      <c r="K23" s="221"/>
    </row>
    <row r="24" spans="2:11" s="173" customFormat="1" ht="17.25" customHeight="1">
      <c r="B24" s="378" t="s">
        <v>383</v>
      </c>
      <c r="C24" s="378" t="s">
        <v>384</v>
      </c>
      <c r="D24" s="387">
        <v>44531</v>
      </c>
      <c r="E24" s="386">
        <v>2500</v>
      </c>
      <c r="F24" s="454">
        <f>E24/570</f>
        <v>4.3859649122807021</v>
      </c>
      <c r="G24" s="454">
        <v>15</v>
      </c>
      <c r="H24" s="454" t="s">
        <v>341</v>
      </c>
      <c r="I24" s="193" t="s">
        <v>385</v>
      </c>
      <c r="J24" s="221"/>
      <c r="K24" s="221"/>
    </row>
    <row r="25" spans="2:11" s="173" customFormat="1" ht="17.25" customHeight="1">
      <c r="B25" s="378" t="s">
        <v>342</v>
      </c>
      <c r="C25" s="378" t="s">
        <v>343</v>
      </c>
      <c r="D25" s="387">
        <v>43441</v>
      </c>
      <c r="E25" s="386">
        <v>4600</v>
      </c>
      <c r="F25" s="454">
        <f>E25/2685</f>
        <v>1.7132216014897579</v>
      </c>
      <c r="G25" s="454">
        <f>E25/284</f>
        <v>16.197183098591548</v>
      </c>
      <c r="H25" s="454">
        <f>40/1.18</f>
        <v>33.898305084745765</v>
      </c>
      <c r="I25" s="193" t="s">
        <v>382</v>
      </c>
      <c r="J25" s="221"/>
      <c r="K25" s="221"/>
    </row>
    <row r="26" spans="2:11" s="173" customFormat="1" ht="17.25" customHeight="1">
      <c r="B26" s="183" t="s">
        <v>386</v>
      </c>
      <c r="C26" s="381" t="s">
        <v>387</v>
      </c>
      <c r="D26" s="387">
        <v>43160</v>
      </c>
      <c r="E26" s="186">
        <v>558</v>
      </c>
      <c r="F26" s="454">
        <f>E26/1839</f>
        <v>0.30342577487765088</v>
      </c>
      <c r="G26" s="454">
        <f>E26/98</f>
        <v>5.6938775510204085</v>
      </c>
      <c r="H26" s="454">
        <f>13.5/0.36</f>
        <v>37.5</v>
      </c>
      <c r="I26" s="193" t="s">
        <v>388</v>
      </c>
      <c r="J26" s="221"/>
      <c r="K26" s="221"/>
    </row>
    <row r="27" spans="2:11" s="173" customFormat="1" ht="17.25" customHeight="1">
      <c r="B27" s="187"/>
      <c r="C27" s="382"/>
      <c r="D27" s="189"/>
      <c r="E27" s="190"/>
      <c r="F27" s="190"/>
      <c r="G27" s="190"/>
      <c r="H27" s="193"/>
      <c r="I27" s="193"/>
      <c r="J27" s="221"/>
      <c r="K27" s="221"/>
    </row>
    <row r="28" spans="2:11" s="173" customFormat="1" ht="17.25" customHeight="1">
      <c r="B28" s="187"/>
      <c r="C28" s="188"/>
      <c r="D28" s="189"/>
      <c r="E28" s="190"/>
      <c r="F28" s="190"/>
      <c r="G28" s="190"/>
      <c r="H28" s="190"/>
      <c r="I28" s="190"/>
      <c r="J28" s="222"/>
      <c r="K28" s="222"/>
    </row>
    <row r="29" spans="2:11" ht="17.25" customHeight="1"/>
    <row r="30" spans="2:11" ht="17.25" customHeight="1">
      <c r="B30" s="196" t="s">
        <v>307</v>
      </c>
      <c r="C30" s="197"/>
      <c r="D30" s="197"/>
      <c r="E30" s="197"/>
      <c r="F30" s="204">
        <f>IFERROR(MIN(F$22:F28),"")</f>
        <v>0.30342577487765088</v>
      </c>
      <c r="G30" s="204">
        <f>IFERROR(MIN(G$22:G28),"")</f>
        <v>5.6938775510204085</v>
      </c>
      <c r="H30" s="198">
        <f>IFERROR(MIN(H$22:H28),"")</f>
        <v>15.144230769230768</v>
      </c>
    </row>
    <row r="31" spans="2:11" ht="17.25" customHeight="1">
      <c r="B31" s="199" t="s">
        <v>367</v>
      </c>
      <c r="C31" s="200"/>
      <c r="D31" s="200"/>
      <c r="E31" s="200"/>
      <c r="F31" s="205">
        <f>_xlfn.PERCENTILE.EXC(F22:F26,0.25)</f>
        <v>0.3085313543814926</v>
      </c>
      <c r="G31" s="205">
        <f>_xlfn.PERCENTILE.EXC(G22:G26,0.25)</f>
        <v>5.8969387755102041</v>
      </c>
      <c r="H31" s="201">
        <f>_xlfn.PERCENTILE.EXC(H22:H26,0.25)</f>
        <v>15.737735120718696</v>
      </c>
    </row>
    <row r="32" spans="2:11" ht="17.25" customHeight="1">
      <c r="B32" s="199" t="s">
        <v>308</v>
      </c>
      <c r="C32" s="200"/>
      <c r="D32" s="200"/>
      <c r="E32" s="200"/>
      <c r="F32" s="205">
        <f t="shared" ref="F32:G32" si="0">IFERROR(MEDIAN(F22:F28),"")</f>
        <v>1.0502843126324004</v>
      </c>
      <c r="G32" s="205">
        <f t="shared" si="0"/>
        <v>7.85</v>
      </c>
      <c r="H32" s="201">
        <f>IFERROR(MEDIAN(H22:H28),"")</f>
        <v>25.708276629964125</v>
      </c>
    </row>
    <row r="33" spans="2:11" ht="17.25" customHeight="1">
      <c r="B33" s="199" t="s">
        <v>309</v>
      </c>
      <c r="C33" s="200"/>
      <c r="D33" s="200"/>
      <c r="E33" s="200"/>
      <c r="F33" s="205">
        <f t="shared" ref="F33:G33" si="1">IFERROR(AVERAGE(F22:F28),"")</f>
        <v>1.553306707033169</v>
      </c>
      <c r="G33" s="205">
        <f t="shared" si="1"/>
        <v>10.168212129922392</v>
      </c>
      <c r="H33" s="201">
        <f>IFERROR(AVERAGE(H22:H28),"")</f>
        <v>26.015196007289752</v>
      </c>
    </row>
    <row r="34" spans="2:11" ht="17.25" customHeight="1">
      <c r="B34" s="353" t="s">
        <v>368</v>
      </c>
      <c r="C34" s="352"/>
      <c r="D34" s="352"/>
      <c r="E34" s="352"/>
      <c r="F34" s="350">
        <f>_xlfn.PERCENTILE.EXC(F22:F26,0.75)</f>
        <v>3.0495932568852302</v>
      </c>
      <c r="G34" s="350">
        <f>_xlfn.PERCENTILE.EXC(G22:G26,0.75)</f>
        <v>15.598591549295774</v>
      </c>
      <c r="H34" s="349">
        <f>_xlfn.PERCENTILE.EXC(H22:H26,0.75)</f>
        <v>36.599576271186443</v>
      </c>
    </row>
    <row r="35" spans="2:11" ht="17.25" customHeight="1">
      <c r="B35" s="202" t="s">
        <v>310</v>
      </c>
      <c r="C35" s="347"/>
      <c r="D35" s="347"/>
      <c r="E35" s="347"/>
      <c r="F35" s="207">
        <f t="shared" ref="F35:G35" si="2">IFERROR(MAX(F22:F28),"")</f>
        <v>4.3859649122807021</v>
      </c>
      <c r="G35" s="207">
        <f t="shared" si="2"/>
        <v>16.197183098591548</v>
      </c>
      <c r="H35" s="203">
        <f>IFERROR(MAX(H22:H28),"")</f>
        <v>37.5</v>
      </c>
    </row>
    <row r="36" spans="2:11" ht="17.25" customHeight="1">
      <c r="C36" s="21"/>
      <c r="D36" s="21"/>
      <c r="E36" s="21"/>
      <c r="F36" s="21"/>
      <c r="G36" s="21"/>
      <c r="H36" s="21"/>
      <c r="I36" s="21"/>
      <c r="J36" s="21"/>
      <c r="K36" s="21"/>
    </row>
    <row r="37" spans="2:11" ht="13.2"/>
    <row r="38" spans="2:11" s="168" customFormat="1" ht="13.2">
      <c r="B38" s="32" t="s">
        <v>344</v>
      </c>
      <c r="C38" s="169"/>
      <c r="D38" s="169"/>
      <c r="E38" s="169"/>
      <c r="F38" s="169"/>
    </row>
    <row r="39" spans="2:11" ht="13.2">
      <c r="B39" s="40"/>
      <c r="C39" s="194"/>
      <c r="D39" s="194"/>
      <c r="E39" s="194"/>
      <c r="F39" s="194"/>
    </row>
    <row r="40" spans="2:11" ht="16.2" thickBot="1">
      <c r="B40" s="40"/>
      <c r="C40" s="177"/>
      <c r="D40" s="177" t="s">
        <v>337</v>
      </c>
      <c r="E40" s="177"/>
      <c r="G40" s="177" t="s">
        <v>339</v>
      </c>
      <c r="H40"/>
      <c r="I40"/>
    </row>
    <row r="41" spans="2:11" ht="15.6">
      <c r="B41" s="40"/>
      <c r="C41" s="471" t="s">
        <v>336</v>
      </c>
      <c r="D41" s="471" t="s">
        <v>312</v>
      </c>
      <c r="E41" s="471" t="s">
        <v>391</v>
      </c>
      <c r="F41" s="21"/>
      <c r="G41" s="471" t="s">
        <v>391</v>
      </c>
      <c r="H41"/>
    </row>
    <row r="42" spans="2:11" ht="13.2">
      <c r="B42" s="196" t="s">
        <v>307</v>
      </c>
      <c r="C42" s="463">
        <f t="shared" ref="C42:C47" si="3">F30*$C$12</f>
        <v>14051.344208809134</v>
      </c>
      <c r="D42" s="463">
        <f t="shared" ref="D42:D47" si="4">C42-$C$10</f>
        <v>10497.344208809134</v>
      </c>
      <c r="E42" s="464">
        <f t="shared" ref="E42:E47" si="5">D42/$C$9</f>
        <v>7.1014370239542242</v>
      </c>
      <c r="F42" s="31"/>
      <c r="G42" s="465">
        <f t="shared" ref="G42:G47" si="6">H30*$C$15</f>
        <v>32.71153846153846</v>
      </c>
      <c r="H42" s="388"/>
      <c r="I42" s="388"/>
    </row>
    <row r="43" spans="2:11" ht="13.2">
      <c r="B43" s="199" t="s">
        <v>367</v>
      </c>
      <c r="C43" s="388">
        <f t="shared" si="3"/>
        <v>14287.77849005254</v>
      </c>
      <c r="D43" s="388">
        <f t="shared" si="4"/>
        <v>10733.77849005254</v>
      </c>
      <c r="E43" s="466">
        <f t="shared" si="5"/>
        <v>7.2613844473363143</v>
      </c>
      <c r="G43" s="467">
        <f t="shared" si="6"/>
        <v>33.993507860752388</v>
      </c>
      <c r="H43" s="388"/>
      <c r="I43" s="388"/>
    </row>
    <row r="44" spans="2:11" ht="13.2">
      <c r="B44" s="199" t="s">
        <v>308</v>
      </c>
      <c r="C44" s="388">
        <f t="shared" si="3"/>
        <v>48637.616233693829</v>
      </c>
      <c r="D44" s="388">
        <f t="shared" si="4"/>
        <v>45083.616233693829</v>
      </c>
      <c r="E44" s="466">
        <f t="shared" si="5"/>
        <v>30.498996234402536</v>
      </c>
      <c r="G44" s="467">
        <f t="shared" si="6"/>
        <v>55.529877520722515</v>
      </c>
      <c r="H44" s="388"/>
      <c r="I44" s="388"/>
    </row>
    <row r="45" spans="2:11" ht="13.2">
      <c r="B45" s="199" t="s">
        <v>309</v>
      </c>
      <c r="C45" s="388">
        <f t="shared" si="3"/>
        <v>71932.080295999025</v>
      </c>
      <c r="D45" s="388">
        <f t="shared" si="4"/>
        <v>68378.080295999025</v>
      </c>
      <c r="E45" s="466">
        <f t="shared" si="5"/>
        <v>46.257664927614009</v>
      </c>
      <c r="G45" s="467">
        <f t="shared" si="6"/>
        <v>56.192823375745867</v>
      </c>
      <c r="H45" s="388"/>
      <c r="I45" s="388"/>
    </row>
    <row r="46" spans="2:11" ht="13.2">
      <c r="B46" s="353" t="s">
        <v>368</v>
      </c>
      <c r="C46" s="472">
        <f t="shared" si="3"/>
        <v>141223.61413309813</v>
      </c>
      <c r="D46" s="472">
        <f t="shared" si="4"/>
        <v>137669.61413309813</v>
      </c>
      <c r="E46" s="473">
        <f t="shared" si="5"/>
        <v>93.133279754497451</v>
      </c>
      <c r="F46" s="474"/>
      <c r="G46" s="475">
        <f t="shared" si="6"/>
        <v>79.055084745762727</v>
      </c>
      <c r="H46" s="388"/>
      <c r="I46" s="388"/>
    </row>
    <row r="47" spans="2:11" ht="13.2">
      <c r="B47" s="202" t="s">
        <v>310</v>
      </c>
      <c r="C47" s="468">
        <f t="shared" si="3"/>
        <v>203109.64912280702</v>
      </c>
      <c r="D47" s="468">
        <f t="shared" si="4"/>
        <v>199555.64912280702</v>
      </c>
      <c r="E47" s="469">
        <f t="shared" si="5"/>
        <v>134.99908613368083</v>
      </c>
      <c r="F47" s="402"/>
      <c r="G47" s="470">
        <f t="shared" si="6"/>
        <v>81</v>
      </c>
      <c r="H47" s="388"/>
      <c r="I47" s="388"/>
    </row>
    <row r="48" spans="2:11" ht="13.2">
      <c r="B48" s="40"/>
      <c r="C48" s="194"/>
      <c r="D48" s="194"/>
      <c r="E48" s="194"/>
      <c r="F48" s="194"/>
    </row>
    <row r="49" spans="2:6" ht="13.2">
      <c r="B49" s="40"/>
      <c r="C49" s="194"/>
      <c r="D49" s="194"/>
      <c r="E49" s="194"/>
      <c r="F49" s="194"/>
    </row>
    <row r="50" spans="2:6" ht="13.2">
      <c r="B50" s="40"/>
      <c r="C50" s="194"/>
      <c r="D50" s="194"/>
      <c r="E50" s="194"/>
      <c r="F50" s="194"/>
    </row>
    <row r="51" spans="2:6" ht="13.2">
      <c r="B51" s="40"/>
      <c r="C51" s="174" t="s">
        <v>332</v>
      </c>
      <c r="D51" s="175"/>
      <c r="E51" s="175"/>
      <c r="F51" s="194"/>
    </row>
    <row r="52" spans="2:6" ht="16.8">
      <c r="B52" s="40"/>
      <c r="C52" s="208" t="s">
        <v>337</v>
      </c>
      <c r="D52" s="208" t="s">
        <v>338</v>
      </c>
      <c r="E52" s="208" t="s">
        <v>339</v>
      </c>
      <c r="F52" s="194"/>
    </row>
    <row r="53" spans="2:6" ht="13.2">
      <c r="B53" s="118" t="s">
        <v>336</v>
      </c>
      <c r="C53" s="388">
        <f>F34*C12</f>
        <v>141223.61413309813</v>
      </c>
      <c r="D53" s="388">
        <f>G34*C13</f>
        <v>69834.894366197186</v>
      </c>
      <c r="E53" s="456">
        <f>H34*C15</f>
        <v>79.055084745762727</v>
      </c>
      <c r="F53" s="206"/>
    </row>
    <row r="54" spans="2:6" ht="13.2">
      <c r="B54" s="118" t="s">
        <v>345</v>
      </c>
      <c r="C54" s="455">
        <f>-C10</f>
        <v>-3554</v>
      </c>
      <c r="D54" s="455">
        <v>-3554</v>
      </c>
      <c r="E54" s="455"/>
      <c r="F54" s="206"/>
    </row>
    <row r="55" spans="2:6" ht="13.2">
      <c r="B55" s="457" t="s">
        <v>346</v>
      </c>
      <c r="C55" s="458">
        <f>SUM(C53:C54)</f>
        <v>137669.61413309813</v>
      </c>
      <c r="D55" s="458">
        <f>SUM(D53:D54)</f>
        <v>66280.894366197186</v>
      </c>
      <c r="E55" s="459">
        <f>SUM(E53:E54)</f>
        <v>79.055084745762727</v>
      </c>
      <c r="F55" s="206"/>
    </row>
    <row r="56" spans="2:6" ht="13.2">
      <c r="B56" s="460" t="s">
        <v>275</v>
      </c>
      <c r="C56" s="461">
        <f>C55/$C$9</f>
        <v>93.133279754497451</v>
      </c>
      <c r="D56" s="461">
        <f>D55/$C$9</f>
        <v>44.838921909212004</v>
      </c>
      <c r="E56" s="462">
        <f>E55</f>
        <v>79.055084745762727</v>
      </c>
      <c r="F56" s="195"/>
    </row>
    <row r="57" spans="2:6" ht="13.2">
      <c r="B57" s="40"/>
      <c r="C57" s="194"/>
      <c r="D57" s="194"/>
      <c r="E57" s="194"/>
      <c r="F57" s="194"/>
    </row>
    <row r="58" spans="2:6" ht="13.2" hidden="1">
      <c r="B58" s="40"/>
      <c r="C58" s="194"/>
      <c r="D58" s="194"/>
      <c r="E58" s="194"/>
      <c r="F58" s="194"/>
    </row>
    <row r="59" spans="2:6" ht="13.2" hidden="1">
      <c r="B59" s="40"/>
      <c r="C59" s="194"/>
      <c r="D59" s="194"/>
      <c r="E59" s="194"/>
      <c r="F59" s="194"/>
    </row>
    <row r="60" spans="2:6" ht="13.2" hidden="1">
      <c r="B60" s="40"/>
      <c r="C60" s="194"/>
      <c r="D60" s="194"/>
      <c r="E60" s="194"/>
      <c r="F60" s="194"/>
    </row>
    <row r="61" spans="2:6" ht="13.2" hidden="1">
      <c r="B61" s="40"/>
      <c r="C61" s="194"/>
      <c r="D61" s="194"/>
      <c r="E61" s="194"/>
      <c r="F61" s="194"/>
    </row>
    <row r="62" spans="2:6" ht="13.2" hidden="1">
      <c r="B62" s="40"/>
      <c r="C62" s="194"/>
      <c r="D62" s="194"/>
      <c r="E62" s="194"/>
      <c r="F62" s="194"/>
    </row>
    <row r="63" spans="2:6" ht="13.2" hidden="1">
      <c r="B63" s="40"/>
      <c r="C63" s="194"/>
      <c r="D63" s="194"/>
      <c r="E63" s="194"/>
      <c r="F63" s="194"/>
    </row>
    <row r="64" spans="2:6" ht="13.2" hidden="1">
      <c r="B64" s="40"/>
      <c r="C64" s="194"/>
      <c r="D64" s="194"/>
      <c r="E64" s="194"/>
      <c r="F64" s="194"/>
    </row>
    <row r="65" spans="2:6" ht="13.2" hidden="1">
      <c r="B65" s="40"/>
      <c r="C65" s="194"/>
      <c r="D65" s="194"/>
      <c r="E65" s="194"/>
      <c r="F65" s="194"/>
    </row>
    <row r="66" spans="2:6" ht="13.2" hidden="1">
      <c r="B66" s="40"/>
      <c r="C66" s="194"/>
      <c r="D66" s="194"/>
      <c r="E66" s="194"/>
      <c r="F66" s="194"/>
    </row>
    <row r="67" spans="2:6" ht="13.2" hidden="1">
      <c r="B67" s="40"/>
      <c r="C67" s="194"/>
      <c r="D67" s="194"/>
      <c r="E67" s="194"/>
      <c r="F67" s="194"/>
    </row>
  </sheetData>
  <conditionalFormatting sqref="B29:K29">
    <cfRule type="expression" dxfId="1" priority="3">
      <formula>" =MOD(ROW(),2)=1"</formula>
    </cfRule>
    <cfRule type="expression" dxfId="0" priority="4">
      <formula>" MOD(ROW(),2)=1"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16</vt:i4>
      </vt:variant>
    </vt:vector>
  </HeadingPairs>
  <TitlesOfParts>
    <vt:vector size="23" baseType="lpstr">
      <vt:lpstr>Cover</vt:lpstr>
      <vt:lpstr>Instructions</vt:lpstr>
      <vt:lpstr>Financial Statements</vt:lpstr>
      <vt:lpstr>DCF Valuation</vt:lpstr>
      <vt:lpstr>Supporting Schedules</vt:lpstr>
      <vt:lpstr>Comparables </vt:lpstr>
      <vt:lpstr>Precedents</vt:lpstr>
      <vt:lpstr>beta</vt:lpstr>
      <vt:lpstr>company</vt:lpstr>
      <vt:lpstr>costofdebt</vt:lpstr>
      <vt:lpstr>currentprice</vt:lpstr>
      <vt:lpstr>'Comparables '!dilutedshares</vt:lpstr>
      <vt:lpstr>'Comparables '!equityvalue</vt:lpstr>
      <vt:lpstr>'Comparables '!ev</vt:lpstr>
      <vt:lpstr>mrp</vt:lpstr>
      <vt:lpstr>'Comparables '!netdebt</vt:lpstr>
      <vt:lpstr>rd</vt:lpstr>
      <vt:lpstr>re</vt:lpstr>
      <vt:lpstr>rf</vt:lpstr>
      <vt:lpstr>rm</vt:lpstr>
      <vt:lpstr>taxrate</vt:lpstr>
      <vt:lpstr>tgr</vt:lpstr>
      <vt:lpstr>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aryanjw@student.ubc.ca</dc:creator>
  <cp:keywords/>
  <dc:description/>
  <cp:lastModifiedBy>ktsuji@student.ubc.ca</cp:lastModifiedBy>
  <cp:revision/>
  <dcterms:created xsi:type="dcterms:W3CDTF">2025-12-01T04:57:30Z</dcterms:created>
  <dcterms:modified xsi:type="dcterms:W3CDTF">2026-01-01T01:03:09Z</dcterms:modified>
  <cp:category/>
  <cp:contentStatus/>
</cp:coreProperties>
</file>